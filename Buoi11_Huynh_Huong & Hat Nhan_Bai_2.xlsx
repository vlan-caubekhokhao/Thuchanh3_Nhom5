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40" windowHeight="7150"/>
  </bookViews>
  <sheets>
    <sheet name="Tong hop" sheetId="1" r:id="rId1"/>
    <sheet name="1. SV nganh CNTT" sheetId="2" r:id="rId2"/>
    <sheet name="2. SV lop_DI18T9A1_mon NT_CNTT" sheetId="3" r:id="rId3"/>
    <sheet name="3. SV diem_D_F" sheetId="4" r:id="rId4"/>
    <sheet name="4. SV dang ky hoc hon 1 m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<sst xmlns="http://schemas.openxmlformats.org/spreadsheetml/2006/main" count="154" uniqueCount="81">
  <si>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</si>
  <si>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</si>
  <si>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</si>
  <si>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</si>
  <si>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Nganh</t>
  </si>
  <si>
    <t>Ten Nganh</t>
  </si>
  <si>
    <t>MaMH</t>
  </si>
  <si>
    <t>Ten 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</si>
  <si>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</si>
  <si>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</si>
  <si>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</si>
  <si>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</si>
  <si>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</si>
  <si>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</si>
  <si>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</si>
  <si>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</si>
  <si>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</si>
  <si>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</si>
  <si>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</si>
  <si>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</si>
  <si>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</si>
  <si>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</si>
  <si>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</si>
  <si>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</si>
  <si>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</si>
  <si>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</si>
  <si>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</si>
  <si>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</si>
  <si>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</si>
  <si>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</si>
  <si>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</si>
  <si>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</si>
  <si>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</si>
  <si>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</si>
  <si>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</si>
  <si>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</si>
  <si>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</si>
  <si>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</si>
  <si>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</si>
  <si>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</si>
  <si>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</si>
  <si>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</si>
  <si>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</si>
  <si>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</si>
  <si>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</si>
  <si>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</si>
  <si>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</si>
  <si>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</si>
  <si>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</si>
  <si>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</si>
  <si>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</si>
  <si>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</si>
  <si>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</si>
  <si>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</si>
  <si>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Pham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</si>
  <si>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</si>
  <si>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</si>
  <si>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</si>
  <si>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</si>
  <si>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</si>
  <si>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</si>
  <si>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</si>
  <si>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</si>
  <si>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</si>
  <si>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</si>
  <si>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</si>
  <si>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DI15S6A2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</si>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</sst>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2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rgb="FFFFFFFF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2F75B5"/>
        <bgColor rgb="FF2F75B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9"/>
  <sheetViews>
    <sheetView tabSelected="1" workbookViewId="0">
      <selection activeCell="A1" sqref="A1"/>
    </sheetView>
  </sheetViews>
  <sheetFormatPr defaultColWidth="12.6272727272727" defaultRowHeight="15.75" customHeight="1"/>
  <cols>
    <col min="6" max="6" width="35.2545454545455" customWidth="1"/>
    <col min="8" max="8" width="40.3818181818182" customWidth="1"/>
  </cols>
  <sheetData>
    <row r="1" customHeight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customHeight="1" spans="1:10">
      <c r="A2" s="9" t="s">
        <v>10</v>
      </c>
      <c r="B2" s="9" t="s">
        <v>11</v>
      </c>
      <c r="C2" s="9" t="s">
        <v>12</v>
      </c>
      <c r="D2" s="9" t="s">
        <v>13</v>
      </c>
      <c r="E2" s="9">
        <v>7480201</v>
      </c>
      <c r="F2" s="9" t="s">
        <v>14</v>
      </c>
      <c r="G2" s="9" t="s">
        <v>15</v>
      </c>
      <c r="H2" s="9" t="s">
        <v>16</v>
      </c>
      <c r="I2" s="9">
        <v>2</v>
      </c>
      <c r="J2" s="9" t="s">
        <v>17</v>
      </c>
    </row>
    <row r="3" customHeight="1" spans="1:10">
      <c r="A3" s="9" t="s">
        <v>18</v>
      </c>
      <c r="B3" s="9" t="s">
        <v>19</v>
      </c>
      <c r="C3" s="9" t="s">
        <v>20</v>
      </c>
      <c r="D3" s="9" t="s">
        <v>21</v>
      </c>
      <c r="E3" s="9">
        <v>7480201</v>
      </c>
      <c r="F3" s="9" t="s">
        <v>14</v>
      </c>
      <c r="G3" s="9" t="s">
        <v>22</v>
      </c>
      <c r="H3" s="9" t="s">
        <v>23</v>
      </c>
      <c r="I3" s="9">
        <v>3</v>
      </c>
      <c r="J3" s="9" t="s">
        <v>17</v>
      </c>
    </row>
    <row r="4" customHeight="1" spans="1:10">
      <c r="A4" s="9" t="s">
        <v>24</v>
      </c>
      <c r="B4" s="9" t="s">
        <v>25</v>
      </c>
      <c r="C4" s="9" t="s">
        <v>26</v>
      </c>
      <c r="D4" s="9" t="s">
        <v>27</v>
      </c>
      <c r="E4" s="9">
        <v>7480201</v>
      </c>
      <c r="F4" s="9" t="s">
        <v>14</v>
      </c>
      <c r="G4" s="9" t="s">
        <v>15</v>
      </c>
      <c r="H4" s="9" t="s">
        <v>16</v>
      </c>
      <c r="I4" s="9">
        <v>2</v>
      </c>
      <c r="J4" s="9" t="s">
        <v>28</v>
      </c>
    </row>
    <row r="5" customHeight="1" spans="1:10">
      <c r="A5" s="9" t="s">
        <v>29</v>
      </c>
      <c r="B5" s="9" t="s">
        <v>30</v>
      </c>
      <c r="C5" s="9" t="s">
        <v>31</v>
      </c>
      <c r="D5" s="9" t="s">
        <v>27</v>
      </c>
      <c r="E5" s="9">
        <v>7480201</v>
      </c>
      <c r="F5" s="9" t="s">
        <v>14</v>
      </c>
      <c r="G5" s="9" t="s">
        <v>15</v>
      </c>
      <c r="H5" s="9" t="s">
        <v>16</v>
      </c>
      <c r="I5" s="9">
        <v>2</v>
      </c>
      <c r="J5" s="9" t="s">
        <v>32</v>
      </c>
    </row>
    <row r="6" customHeight="1" spans="1:10">
      <c r="A6" s="9" t="s">
        <v>29</v>
      </c>
      <c r="B6" s="9" t="s">
        <v>30</v>
      </c>
      <c r="C6" s="9" t="s">
        <v>31</v>
      </c>
      <c r="D6" s="9" t="s">
        <v>27</v>
      </c>
      <c r="E6" s="9">
        <v>7480201</v>
      </c>
      <c r="F6" s="9" t="s">
        <v>14</v>
      </c>
      <c r="G6" s="9" t="s">
        <v>22</v>
      </c>
      <c r="H6" s="9" t="s">
        <v>23</v>
      </c>
      <c r="I6" s="9">
        <v>3</v>
      </c>
      <c r="J6" s="9" t="s">
        <v>33</v>
      </c>
    </row>
    <row r="7" customHeight="1" spans="1:10">
      <c r="A7" s="9" t="s">
        <v>34</v>
      </c>
      <c r="B7" s="9" t="s">
        <v>35</v>
      </c>
      <c r="C7" s="9" t="s">
        <v>36</v>
      </c>
      <c r="D7" s="9" t="s">
        <v>37</v>
      </c>
      <c r="E7" s="9">
        <v>7480201</v>
      </c>
      <c r="F7" s="9" t="s">
        <v>14</v>
      </c>
      <c r="G7" s="9" t="s">
        <v>15</v>
      </c>
      <c r="H7" s="9" t="s">
        <v>16</v>
      </c>
      <c r="I7" s="9">
        <v>2</v>
      </c>
      <c r="J7" s="9" t="s">
        <v>33</v>
      </c>
    </row>
    <row r="8" customHeight="1" spans="1:10">
      <c r="A8" s="9" t="s">
        <v>38</v>
      </c>
      <c r="B8" s="9" t="s">
        <v>39</v>
      </c>
      <c r="C8" s="9" t="s">
        <v>40</v>
      </c>
      <c r="D8" s="9" t="s">
        <v>21</v>
      </c>
      <c r="E8" s="9">
        <v>7480201</v>
      </c>
      <c r="F8" s="9" t="s">
        <v>14</v>
      </c>
      <c r="G8" s="9" t="s">
        <v>41</v>
      </c>
      <c r="H8" s="9" t="s">
        <v>42</v>
      </c>
      <c r="I8" s="9">
        <v>4</v>
      </c>
      <c r="J8" s="9" t="s">
        <v>17</v>
      </c>
    </row>
    <row r="9" customHeight="1" spans="1:10">
      <c r="A9" s="9" t="s">
        <v>43</v>
      </c>
      <c r="B9" s="9" t="s">
        <v>44</v>
      </c>
      <c r="C9" s="9" t="s">
        <v>45</v>
      </c>
      <c r="D9" s="9" t="s">
        <v>21</v>
      </c>
      <c r="E9" s="9">
        <v>7480201</v>
      </c>
      <c r="F9" s="9" t="s">
        <v>14</v>
      </c>
      <c r="G9" s="9" t="s">
        <v>22</v>
      </c>
      <c r="H9" s="9" t="s">
        <v>23</v>
      </c>
      <c r="I9" s="9">
        <v>3</v>
      </c>
      <c r="J9" s="9" t="s">
        <v>33</v>
      </c>
    </row>
    <row r="10" customHeight="1" spans="1:10">
      <c r="A10" s="9" t="s">
        <v>46</v>
      </c>
      <c r="B10" s="9" t="s">
        <v>47</v>
      </c>
      <c r="C10" s="9" t="s">
        <v>48</v>
      </c>
      <c r="D10" s="9" t="s">
        <v>49</v>
      </c>
      <c r="E10" s="9">
        <v>7480201</v>
      </c>
      <c r="F10" s="9" t="s">
        <v>14</v>
      </c>
      <c r="G10" s="9" t="s">
        <v>22</v>
      </c>
      <c r="H10" s="9" t="s">
        <v>23</v>
      </c>
      <c r="I10" s="9">
        <v>3</v>
      </c>
      <c r="J10" s="9" t="s">
        <v>28</v>
      </c>
    </row>
    <row r="11" customHeight="1" spans="1:10">
      <c r="A11" s="9" t="s">
        <v>50</v>
      </c>
      <c r="B11" s="9" t="s">
        <v>51</v>
      </c>
      <c r="C11" s="9" t="s">
        <v>45</v>
      </c>
      <c r="D11" s="9" t="s">
        <v>21</v>
      </c>
      <c r="E11" s="9">
        <v>7480201</v>
      </c>
      <c r="F11" s="9" t="s">
        <v>14</v>
      </c>
      <c r="G11" s="9" t="s">
        <v>15</v>
      </c>
      <c r="H11" s="9" t="s">
        <v>16</v>
      </c>
      <c r="I11" s="9">
        <v>2</v>
      </c>
      <c r="J11" s="9" t="s">
        <v>52</v>
      </c>
    </row>
    <row r="12" customHeight="1" spans="1:10">
      <c r="A12" s="9" t="s">
        <v>53</v>
      </c>
      <c r="B12" s="9" t="s">
        <v>54</v>
      </c>
      <c r="C12" s="9" t="s">
        <v>55</v>
      </c>
      <c r="D12" s="9" t="s">
        <v>56</v>
      </c>
      <c r="E12" s="9">
        <v>7480101</v>
      </c>
      <c r="F12" s="9" t="s">
        <v>57</v>
      </c>
      <c r="G12" s="9" t="s">
        <v>22</v>
      </c>
      <c r="H12" s="9" t="s">
        <v>23</v>
      </c>
      <c r="I12" s="9">
        <v>3</v>
      </c>
      <c r="J12" s="9" t="s">
        <v>58</v>
      </c>
    </row>
    <row r="13" customHeight="1" spans="1:10">
      <c r="A13" s="9" t="s">
        <v>59</v>
      </c>
      <c r="B13" s="9" t="s">
        <v>60</v>
      </c>
      <c r="C13" s="9" t="s">
        <v>61</v>
      </c>
      <c r="D13" s="9" t="s">
        <v>62</v>
      </c>
      <c r="E13" s="9">
        <v>7480101</v>
      </c>
      <c r="F13" s="9" t="s">
        <v>57</v>
      </c>
      <c r="G13" s="9" t="s">
        <v>15</v>
      </c>
      <c r="H13" s="9" t="s">
        <v>16</v>
      </c>
      <c r="I13" s="9">
        <v>2</v>
      </c>
      <c r="J13" s="9" t="s">
        <v>33</v>
      </c>
    </row>
    <row r="14" customHeight="1" spans="1:10">
      <c r="A14" s="9" t="s">
        <v>63</v>
      </c>
      <c r="B14" s="9" t="s">
        <v>64</v>
      </c>
      <c r="C14" s="9" t="s">
        <v>65</v>
      </c>
      <c r="D14" s="9" t="s">
        <v>66</v>
      </c>
      <c r="E14" s="9">
        <v>7480103</v>
      </c>
      <c r="F14" s="9" t="s">
        <v>67</v>
      </c>
      <c r="G14" s="9" t="s">
        <v>22</v>
      </c>
      <c r="H14" s="9" t="s">
        <v>23</v>
      </c>
      <c r="I14" s="9">
        <v>3</v>
      </c>
      <c r="J14" s="9" t="s">
        <v>58</v>
      </c>
    </row>
    <row r="15" customHeight="1" spans="1:10">
      <c r="A15" s="9" t="s">
        <v>68</v>
      </c>
      <c r="B15" s="9" t="s">
        <v>69</v>
      </c>
      <c r="C15" s="9" t="s">
        <v>70</v>
      </c>
      <c r="D15" s="9" t="s">
        <v>71</v>
      </c>
      <c r="E15" s="9">
        <v>7480102</v>
      </c>
      <c r="F15" s="9" t="s">
        <v>72</v>
      </c>
      <c r="G15" s="9" t="s">
        <v>41</v>
      </c>
      <c r="H15" s="9" t="s">
        <v>42</v>
      </c>
      <c r="I15" s="9">
        <v>4</v>
      </c>
      <c r="J15" s="9" t="s">
        <v>33</v>
      </c>
    </row>
    <row r="16" customHeight="1" spans="1:10">
      <c r="A16" s="9" t="s">
        <v>73</v>
      </c>
      <c r="B16" s="9" t="s">
        <v>74</v>
      </c>
      <c r="C16" s="9" t="s">
        <v>45</v>
      </c>
      <c r="D16" s="9" t="s">
        <v>71</v>
      </c>
      <c r="E16" s="9">
        <v>7480102</v>
      </c>
      <c r="F16" s="9" t="s">
        <v>72</v>
      </c>
      <c r="G16" s="9" t="s">
        <v>22</v>
      </c>
      <c r="H16" s="9" t="s">
        <v>23</v>
      </c>
      <c r="I16" s="9">
        <v>3</v>
      </c>
      <c r="J16" s="9" t="s">
        <v>28</v>
      </c>
    </row>
    <row r="17" customHeight="1" spans="1:10">
      <c r="A17" s="9" t="s">
        <v>75</v>
      </c>
      <c r="B17" s="9" t="s">
        <v>76</v>
      </c>
      <c r="C17" s="9" t="s">
        <v>70</v>
      </c>
      <c r="D17" s="9" t="s">
        <v>71</v>
      </c>
      <c r="E17" s="9">
        <v>7480102</v>
      </c>
      <c r="F17" s="9" t="s">
        <v>72</v>
      </c>
      <c r="G17" s="9" t="s">
        <v>41</v>
      </c>
      <c r="H17" s="9" t="s">
        <v>42</v>
      </c>
      <c r="I17" s="9">
        <v>4</v>
      </c>
      <c r="J17" s="9" t="s">
        <v>77</v>
      </c>
    </row>
    <row r="18" customHeight="1" spans="1:10">
      <c r="A18" s="9" t="s">
        <v>78</v>
      </c>
      <c r="B18" s="9" t="s">
        <v>79</v>
      </c>
      <c r="C18" s="9" t="s">
        <v>80</v>
      </c>
      <c r="D18" s="9" t="s">
        <v>71</v>
      </c>
      <c r="E18" s="9">
        <v>7480102</v>
      </c>
      <c r="F18" s="9" t="s">
        <v>72</v>
      </c>
      <c r="G18" s="9" t="s">
        <v>41</v>
      </c>
      <c r="H18" s="9" t="s">
        <v>42</v>
      </c>
      <c r="I18" s="9">
        <v>4</v>
      </c>
      <c r="J18" s="9" t="s">
        <v>33</v>
      </c>
    </row>
    <row r="19" customHeight="1" spans="1:10">
      <c r="A19" s="9" t="s">
        <v>73</v>
      </c>
      <c r="B19" s="9" t="s">
        <v>74</v>
      </c>
      <c r="C19" s="9" t="s">
        <v>45</v>
      </c>
      <c r="D19" s="9" t="s">
        <v>71</v>
      </c>
      <c r="E19" s="9">
        <v>7480102</v>
      </c>
      <c r="F19" s="9" t="s">
        <v>72</v>
      </c>
      <c r="G19" s="9" t="s">
        <v>41</v>
      </c>
      <c r="H19" s="9" t="s">
        <v>42</v>
      </c>
      <c r="I19" s="9">
        <v>4</v>
      </c>
      <c r="J19" s="9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workbookViewId="0">
      <selection activeCell="A1" sqref="A1"/>
    </sheetView>
  </sheetViews>
  <sheetFormatPr defaultColWidth="12.6272727272727" defaultRowHeight="15.75" customHeight="1" outlineLevelCol="4"/>
  <cols>
    <col min="4" max="4" width="22.3818181818182" customWidth="1"/>
  </cols>
  <sheetData>
    <row r="1" customHeight="1" spans="1:5">
      <c r="A1" s="6" t="str">
        <f>IFERROR(__xludf.DUMMYFUNCTION("QUERY('Tong hop'!A1:J19, ""select A, B, C, F where F='Information Technology'"",1)"),"MSSV")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Nganh")</f>
        <v>Ten Nganh</v>
      </c>
      <c r="E1" s="7"/>
    </row>
    <row r="2" customHeight="1" spans="1:5">
      <c r="A2" s="2" t="str">
        <f>IFERROR(__xludf.DUMMYFUNCTION("""COMPUTED_VALUE"""),"S1800005")</f>
        <v>S1800005</v>
      </c>
      <c r="B2" s="2" t="str">
        <f>IFERROR(__xludf.DUMMYFUNCTION("""COMPUTED_VALUE"""),"Le Duy")</f>
        <v>Le Duy</v>
      </c>
      <c r="C2" s="2" t="str">
        <f>IFERROR(__xludf.DUMMYFUNCTION("""COMPUTED_VALUE"""),"Anh")</f>
        <v>Anh</v>
      </c>
      <c r="D2" s="2" t="str">
        <f>IFERROR(__xludf.DUMMYFUNCTION("""COMPUTED_VALUE"""),"Information Technology")</f>
        <v>Information Technology</v>
      </c>
      <c r="E2" s="7"/>
    </row>
    <row r="3" customHeight="1" spans="1:5">
      <c r="A3" s="2" t="str">
        <f>IFERROR(__xludf.DUMMYFUNCTION("""COMPUTED_VALUE"""),"B1706575")</f>
        <v>B1706575</v>
      </c>
      <c r="B3" s="2" t="str">
        <f>IFERROR(__xludf.DUMMYFUNCTION("""COMPUTED_VALUE"""),"Pham Hai")</f>
        <v>Pham Hai</v>
      </c>
      <c r="C3" s="2" t="str">
        <f>IFERROR(__xludf.DUMMYFUNCTION("""COMPUTED_VALUE"""),"Do")</f>
        <v>Do</v>
      </c>
      <c r="D3" s="2" t="str">
        <f>IFERROR(__xludf.DUMMYFUNCTION("""COMPUTED_VALUE"""),"Information Technology")</f>
        <v>Information Technology</v>
      </c>
      <c r="E3" s="7"/>
    </row>
    <row r="4" customHeight="1" spans="1:5">
      <c r="A4" s="2" t="str">
        <f>IFERROR(__xludf.DUMMYFUNCTION("""COMPUTED_VALUE"""),"B1706487")</f>
        <v>B1706487</v>
      </c>
      <c r="B4" s="2" t="str">
        <f>IFERROR(__xludf.DUMMYFUNCTION("""COMPUTED_VALUE"""),"Nguyen Tran")</f>
        <v>Nguyen Tran</v>
      </c>
      <c r="C4" s="2" t="str">
        <f>IFERROR(__xludf.DUMMYFUNCTION("""COMPUTED_VALUE"""),"Le")</f>
        <v>Le</v>
      </c>
      <c r="D4" s="2" t="str">
        <f>IFERROR(__xludf.DUMMYFUNCTION("""COMPUTED_VALUE"""),"Information Technology")</f>
        <v>Information Technology</v>
      </c>
      <c r="E4" s="7"/>
    </row>
    <row r="5" customHeight="1" spans="1:5">
      <c r="A5" s="2" t="str">
        <f>IFERROR(__xludf.DUMMYFUNCTION("""COMPUTED_VALUE"""),"B2000000")</f>
        <v>B2000000</v>
      </c>
      <c r="B5" s="2" t="str">
        <f>IFERROR(__xludf.DUMMYFUNCTION("""COMPUTED_VALUE"""),"Mai Thanh")</f>
        <v>Mai Thanh</v>
      </c>
      <c r="C5" s="2" t="str">
        <f>IFERROR(__xludf.DUMMYFUNCTION("""COMPUTED_VALUE"""),"Dat")</f>
        <v>Dat</v>
      </c>
      <c r="D5" s="2" t="str">
        <f>IFERROR(__xludf.DUMMYFUNCTION("""COMPUTED_VALUE"""),"Information Technology")</f>
        <v>Information Technology</v>
      </c>
      <c r="E5" s="7"/>
    </row>
    <row r="6" customHeight="1" spans="1:5">
      <c r="A6" s="2" t="str">
        <f>IFERROR(__xludf.DUMMYFUNCTION("""COMPUTED_VALUE"""),"B2000000")</f>
        <v>B2000000</v>
      </c>
      <c r="B6" s="2" t="str">
        <f>IFERROR(__xludf.DUMMYFUNCTION("""COMPUTED_VALUE"""),"Mai Thanh")</f>
        <v>Mai Thanh</v>
      </c>
      <c r="C6" s="2" t="str">
        <f>IFERROR(__xludf.DUMMYFUNCTION("""COMPUTED_VALUE"""),"Dat")</f>
        <v>Dat</v>
      </c>
      <c r="D6" s="2" t="str">
        <f>IFERROR(__xludf.DUMMYFUNCTION("""COMPUTED_VALUE"""),"Information Technology")</f>
        <v>Information Technology</v>
      </c>
      <c r="E6" s="7"/>
    </row>
    <row r="7" customHeight="1" spans="1:5">
      <c r="A7" s="2" t="str">
        <f>IFERROR(__xludf.DUMMYFUNCTION("""COMPUTED_VALUE"""),"B1809110")</f>
        <v>B1809110</v>
      </c>
      <c r="B7" s="2" t="str">
        <f>IFERROR(__xludf.DUMMYFUNCTION("""COMPUTED_VALUE"""),"Thi")</f>
        <v>Thi</v>
      </c>
      <c r="C7" s="2" t="str">
        <f>IFERROR(__xludf.DUMMYFUNCTION("""COMPUTED_VALUE"""),"Dui")</f>
        <v>Dui</v>
      </c>
      <c r="D7" s="2" t="str">
        <f>IFERROR(__xludf.DUMMYFUNCTION("""COMPUTED_VALUE"""),"Information Technology")</f>
        <v>Information Technology</v>
      </c>
      <c r="E7" s="7"/>
    </row>
    <row r="8" customHeight="1" spans="1:5">
      <c r="A8" s="2" t="str">
        <f>IFERROR(__xludf.DUMMYFUNCTION("""COMPUTED_VALUE"""),"B1809222")</f>
        <v>B1809222</v>
      </c>
      <c r="B8" s="2" t="str">
        <f>IFERROR(__xludf.DUMMYFUNCTION("""COMPUTED_VALUE"""),"Nguyen")</f>
        <v>Nguyen</v>
      </c>
      <c r="C8" s="2" t="str">
        <f>IFERROR(__xludf.DUMMYFUNCTION("""COMPUTED_VALUE"""),"Duy")</f>
        <v>Duy</v>
      </c>
      <c r="D8" s="2" t="str">
        <f>IFERROR(__xludf.DUMMYFUNCTION("""COMPUTED_VALUE"""),"Information Technology")</f>
        <v>Information Technology</v>
      </c>
      <c r="E8" s="7"/>
    </row>
    <row r="9" customHeight="1" spans="1:5">
      <c r="A9" s="2" t="str">
        <f>IFERROR(__xludf.DUMMYFUNCTION("""COMPUTED_VALUE"""),"B1706582")</f>
        <v>B1706582</v>
      </c>
      <c r="B9" s="2" t="str">
        <f>IFERROR(__xludf.DUMMYFUNCTION("""COMPUTED_VALUE"""),"Le Trong")</f>
        <v>Le Trong</v>
      </c>
      <c r="C9" s="2" t="str">
        <f>IFERROR(__xludf.DUMMYFUNCTION("""COMPUTED_VALUE"""),"Hieu")</f>
        <v>Hieu</v>
      </c>
      <c r="D9" s="2" t="str">
        <f>IFERROR(__xludf.DUMMYFUNCTION("""COMPUTED_VALUE"""),"Information Technology")</f>
        <v>Information Technology</v>
      </c>
      <c r="E9" s="7"/>
    </row>
    <row r="10" customHeight="1" spans="1:5">
      <c r="A10" s="2" t="str">
        <f>IFERROR(__xludf.DUMMYFUNCTION("""COMPUTED_VALUE"""),"B1809497")</f>
        <v>B1809497</v>
      </c>
      <c r="B10" s="2" t="str">
        <f>IFERROR(__xludf.DUMMYFUNCTION("""COMPUTED_VALUE"""),"Luong Thi")</f>
        <v>Luong Thi</v>
      </c>
      <c r="C10" s="2" t="str">
        <f>IFERROR(__xludf.DUMMYFUNCTION("""COMPUTED_VALUE"""),"Ni")</f>
        <v>Ni</v>
      </c>
      <c r="D10" s="2" t="str">
        <f>IFERROR(__xludf.DUMMYFUNCTION("""COMPUTED_VALUE"""),"Information Technology")</f>
        <v>Information Technology</v>
      </c>
      <c r="E10" s="7"/>
    </row>
    <row r="11" customHeight="1" spans="1:5">
      <c r="A11" s="2" t="str">
        <f>IFERROR(__xludf.DUMMYFUNCTION("""COMPUTED_VALUE"""),"B1809236")</f>
        <v>B1809236</v>
      </c>
      <c r="B11" s="2" t="str">
        <f>IFERROR(__xludf.DUMMYFUNCTION("""COMPUTED_VALUE"""),"Nguyen Minh")</f>
        <v>Nguyen Minh</v>
      </c>
      <c r="C11" s="2" t="str">
        <f>IFERROR(__xludf.DUMMYFUNCTION("""COMPUTED_VALUE"""),"Hieu")</f>
        <v>Hieu</v>
      </c>
      <c r="D11" s="2" t="str">
        <f>IFERROR(__xludf.DUMMYFUNCTION("""COMPUTED_VALUE"""),"Information Technology")</f>
        <v>Information Technology</v>
      </c>
      <c r="E11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workbookViewId="0">
      <selection activeCell="A1" sqref="A1"/>
    </sheetView>
  </sheetViews>
  <sheetFormatPr defaultColWidth="12.6272727272727" defaultRowHeight="15.75" customHeight="1" outlineLevelRow="5" outlineLevelCol="5"/>
  <cols>
    <col min="5" max="5" width="41.3818181818182" customWidth="1"/>
  </cols>
  <sheetData>
    <row r="1" customHeight="1" spans="1:6">
      <c r="A1" s="4" t="str">
        <f>IFERROR(__xludf.DUMMYFUNCTION("QUERY('Tong hop'!A1:J19, ""select A, B, C, D, H where H='Fundamentals of Information Technology'"",1)"),"MSSV")</f>
        <v>MSSV</v>
      </c>
      <c r="B1" s="4" t="str">
        <f>IFERROR(__xludf.DUMMYFUNCTION("""COMPUTED_VALUE"""),"Ho")</f>
        <v>Ho</v>
      </c>
      <c r="C1" s="4" t="str">
        <f>IFERROR(__xludf.DUMMYFUNCTION("""COMPUTED_VALUE"""),"Ten")</f>
        <v>Ten</v>
      </c>
      <c r="D1" s="4" t="str">
        <f>IFERROR(__xludf.DUMMYFUNCTION("""COMPUTED_VALUE"""),"Ten lop")</f>
        <v>Ten lop</v>
      </c>
      <c r="E1" s="4" t="str">
        <f>IFERROR(__xludf.DUMMYFUNCTION("""COMPUTED_VALUE"""),"Ten MH")</f>
        <v>Ten MH</v>
      </c>
      <c r="F1" s="5"/>
    </row>
    <row r="2" customHeight="1" spans="1:6">
      <c r="A2" s="2" t="str">
        <f>IFERROR(__xludf.DUMMYFUNCTION("""COMPUTED_VALUE"""),"B1809222")</f>
        <v>B1809222</v>
      </c>
      <c r="B2" s="2" t="str">
        <f>IFERROR(__xludf.DUMMYFUNCTION("""COMPUTED_VALUE"""),"Nguyen")</f>
        <v>Nguyen</v>
      </c>
      <c r="C2" s="2" t="str">
        <f>IFERROR(__xludf.DUMMYFUNCTION("""COMPUTED_VALUE"""),"Duy")</f>
        <v>Duy</v>
      </c>
      <c r="D2" s="2" t="str">
        <f>IFERROR(__xludf.DUMMYFUNCTION("""COMPUTED_VALUE"""),"DI19V7A2")</f>
        <v>DI19V7A2</v>
      </c>
      <c r="E2" s="2" t="str">
        <f>IFERROR(__xludf.DUMMYFUNCTION("""COMPUTED_VALUE"""),"Fundamentals of Information Technology")</f>
        <v>Fundamentals of Information Technology</v>
      </c>
      <c r="F2" s="5"/>
    </row>
    <row r="3" customHeight="1" spans="1:6">
      <c r="A3" s="2" t="str">
        <f>IFERROR(__xludf.DUMMYFUNCTION("""COMPUTED_VALUE"""),"B1807568")</f>
        <v>B1807568</v>
      </c>
      <c r="B3" s="2" t="str">
        <f>IFERROR(__xludf.DUMMYFUNCTION("""COMPUTED_VALUE"""),"Doan Nhat")</f>
        <v>Doan Nhat</v>
      </c>
      <c r="C3" s="2" t="str">
        <f>IFERROR(__xludf.DUMMYFUNCTION("""COMPUTED_VALUE"""),"Linh")</f>
        <v>Linh</v>
      </c>
      <c r="D3" s="2" t="str">
        <f>IFERROR(__xludf.DUMMYFUNCTION("""COMPUTED_VALUE"""),"DI18T9A1")</f>
        <v>DI18T9A1</v>
      </c>
      <c r="E3" s="2" t="str">
        <f>IFERROR(__xludf.DUMMYFUNCTION("""COMPUTED_VALUE"""),"Fundamentals of Information Technology")</f>
        <v>Fundamentals of Information Technology</v>
      </c>
      <c r="F3" s="5"/>
    </row>
    <row r="4" customHeight="1" spans="1:6">
      <c r="A4" s="2" t="str">
        <f>IFERROR(__xludf.DUMMYFUNCTION("""COMPUTED_VALUE"""),"B1807569")</f>
        <v>B1807569</v>
      </c>
      <c r="B4" s="2" t="str">
        <f>IFERROR(__xludf.DUMMYFUNCTION("""COMPUTED_VALUE"""),"Nguyen Van")</f>
        <v>Nguyen Van</v>
      </c>
      <c r="C4" s="2" t="str">
        <f>IFERROR(__xludf.DUMMYFUNCTION("""COMPUTED_VALUE"""),"Linh")</f>
        <v>Linh</v>
      </c>
      <c r="D4" s="2" t="str">
        <f>IFERROR(__xludf.DUMMYFUNCTION("""COMPUTED_VALUE"""),"DI18T9A1")</f>
        <v>DI18T9A1</v>
      </c>
      <c r="E4" s="2" t="str">
        <f>IFERROR(__xludf.DUMMYFUNCTION("""COMPUTED_VALUE"""),"Fundamentals of Information Technology")</f>
        <v>Fundamentals of Information Technology</v>
      </c>
      <c r="F4" s="5"/>
    </row>
    <row r="5" customHeight="1" spans="1:6">
      <c r="A5" s="2" t="str">
        <f>IFERROR(__xludf.DUMMYFUNCTION("""COMPUTED_VALUE"""),"B1807554")</f>
        <v>B1807554</v>
      </c>
      <c r="B5" s="2" t="str">
        <f>IFERROR(__xludf.DUMMYFUNCTION("""COMPUTED_VALUE"""),"Dinh Ho Trung")</f>
        <v>Dinh Ho Trung</v>
      </c>
      <c r="C5" s="2" t="str">
        <f>IFERROR(__xludf.DUMMYFUNCTION("""COMPUTED_VALUE"""),"Hau")</f>
        <v>Hau</v>
      </c>
      <c r="D5" s="2" t="str">
        <f>IFERROR(__xludf.DUMMYFUNCTION("""COMPUTED_VALUE"""),"DI18T9A1")</f>
        <v>DI18T9A1</v>
      </c>
      <c r="E5" s="2" t="str">
        <f>IFERROR(__xludf.DUMMYFUNCTION("""COMPUTED_VALUE"""),"Fundamentals of Information Technology")</f>
        <v>Fundamentals of Information Technology</v>
      </c>
      <c r="F5" s="5"/>
    </row>
    <row r="6" customHeight="1" spans="1:6">
      <c r="A6" s="2" t="str">
        <f>IFERROR(__xludf.DUMMYFUNCTION("""COMPUTED_VALUE"""),"B1807555")</f>
        <v>B1807555</v>
      </c>
      <c r="B6" s="2" t="str">
        <f>IFERROR(__xludf.DUMMYFUNCTION("""COMPUTED_VALUE"""),"Nguyen Trong")</f>
        <v>Nguyen Trong</v>
      </c>
      <c r="C6" s="2" t="str">
        <f>IFERROR(__xludf.DUMMYFUNCTION("""COMPUTED_VALUE"""),"Hieu")</f>
        <v>Hieu</v>
      </c>
      <c r="D6" s="2" t="str">
        <f>IFERROR(__xludf.DUMMYFUNCTION("""COMPUTED_VALUE"""),"DI18T9A1")</f>
        <v>DI18T9A1</v>
      </c>
      <c r="E6" s="2" t="str">
        <f>IFERROR(__xludf.DUMMYFUNCTION("""COMPUTED_VALUE"""),"Fundamentals of Information Technology")</f>
        <v>Fundamentals of Information Technology</v>
      </c>
      <c r="F6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workbookViewId="0">
      <selection activeCell="A1" sqref="A1"/>
    </sheetView>
  </sheetViews>
  <sheetFormatPr defaultColWidth="12.6272727272727" defaultRowHeight="15.75" customHeight="1" outlineLevelRow="2" outlineLevelCol="4"/>
  <cols>
    <col min="4" max="4" width="24.8818181818182" customWidth="1"/>
  </cols>
  <sheetData>
    <row r="1" customHeight="1" spans="1:5">
      <c r="A1" s="3" t="str">
        <f>IFERROR(__xludf.DUMMYFUNCTION("QUERY('Tong hop'!A1:J19, ""select A, B, C, H, J where H='System Administration'and (J='D'or J='F')"",1)"),"MSSV")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MH")</f>
        <v>Ten MH</v>
      </c>
      <c r="E1" s="3" t="str">
        <f>IFERROR(__xludf.DUMMYFUNCTION("""COMPUTED_VALUE"""),"Diem")</f>
        <v>Diem</v>
      </c>
    </row>
    <row r="2" customHeight="1" spans="1:5">
      <c r="A2" s="2" t="str">
        <f>IFERROR(__xludf.DUMMYFUNCTION("""COMPUTED_VALUE"""),"B2000000")</f>
        <v>B2000000</v>
      </c>
      <c r="B2" s="2" t="str">
        <f>IFERROR(__xludf.DUMMYFUNCTION("""COMPUTED_VALUE"""),"Mai Thanh")</f>
        <v>Mai Thanh</v>
      </c>
      <c r="C2" s="2" t="str">
        <f>IFERROR(__xludf.DUMMYFUNCTION("""COMPUTED_VALUE"""),"Dat")</f>
        <v>Dat</v>
      </c>
      <c r="D2" s="2" t="str">
        <f>IFERROR(__xludf.DUMMYFUNCTION("""COMPUTED_VALUE"""),"System Administration")</f>
        <v>System Administration</v>
      </c>
      <c r="E2" s="2" t="str">
        <f>IFERROR(__xludf.DUMMYFUNCTION("""COMPUTED_VALUE"""),"F")</f>
        <v>F</v>
      </c>
    </row>
    <row r="3" customHeight="1" spans="1:5">
      <c r="A3" s="2" t="str">
        <f>IFERROR(__xludf.DUMMYFUNCTION("""COMPUTED_VALUE"""),"B1809236")</f>
        <v>B1809236</v>
      </c>
      <c r="B3" s="2" t="str">
        <f>IFERROR(__xludf.DUMMYFUNCTION("""COMPUTED_VALUE"""),"Nguyen Minh")</f>
        <v>Nguyen Minh</v>
      </c>
      <c r="C3" s="2" t="str">
        <f>IFERROR(__xludf.DUMMYFUNCTION("""COMPUTED_VALUE"""),"Hieu")</f>
        <v>Hieu</v>
      </c>
      <c r="D3" s="2" t="str">
        <f>IFERROR(__xludf.DUMMYFUNCTION("""COMPUTED_VALUE"""),"System Administration")</f>
        <v>System Administration</v>
      </c>
      <c r="E3" s="2" t="str">
        <f>IFERROR(__xludf.DUMMYFUNCTION("""COMPUTED_VALUE"""),"D")</f>
        <v>D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workbookViewId="0">
      <selection activeCell="A1" sqref="A1"/>
    </sheetView>
  </sheetViews>
  <sheetFormatPr defaultColWidth="12.6272727272727" defaultRowHeight="15.75" customHeight="1" outlineLevelRow="2" outlineLevelCol="4"/>
  <cols>
    <col min="4" max="4" width="35.2545454545455" customWidth="1"/>
  </cols>
  <sheetData>
    <row r="1" customHeight="1" spans="1:5">
      <c r="A1" s="1" t="str">
        <f>IFERROR(__xludf.DUMMYFUNCTION(" QUERY(QUERY('Tong hop'!A1:J19, ""select A, B, C, F, count(G) group by A, B, C, F"", 1), ""select * where Col5 &gt; 1 label Col5 'Số môn học'"", 1)"),"MSSV")</f>
        <v>MSSV</v>
      </c>
      <c r="B1" s="1" t="str">
        <f>IFERROR(__xludf.DUMMYFUNCTION("""COMPUTED_VALUE"""),"Ho")</f>
        <v>Ho</v>
      </c>
      <c r="C1" s="1" t="str">
        <f>IFERROR(__xludf.DUMMYFUNCTION("""COMPUTED_VALUE"""),"Ten")</f>
        <v>Ten</v>
      </c>
      <c r="D1" s="1" t="str">
        <f>IFERROR(__xludf.DUMMYFUNCTION("""COMPUTED_VALUE"""),"Ten Nganh")</f>
        <v>Ten Nganh</v>
      </c>
      <c r="E1" s="1" t="str">
        <f>IFERROR(__xludf.DUMMYFUNCTION("""COMPUTED_VALUE"""),"Số môn học")</f>
        <v>Số môn học</v>
      </c>
    </row>
    <row r="2" customHeight="1" spans="1:5">
      <c r="A2" s="2" t="str">
        <f>IFERROR(__xludf.DUMMYFUNCTION("""COMPUTED_VALUE"""),"B1807555")</f>
        <v>B1807555</v>
      </c>
      <c r="B2" s="2" t="str">
        <f>IFERROR(__xludf.DUMMYFUNCTION("""COMPUTED_VALUE"""),"Nguyen Trong")</f>
        <v>Nguyen Trong</v>
      </c>
      <c r="C2" s="2" t="str">
        <f>IFERROR(__xludf.DUMMYFUNCTION("""COMPUTED_VALUE"""),"Hieu")</f>
        <v>Hieu</v>
      </c>
      <c r="D2" s="2" t="str">
        <f>IFERROR(__xludf.DUMMYFUNCTION("""COMPUTED_VALUE"""),"Computer Networks And Communication")</f>
        <v>Computer Networks And Communication</v>
      </c>
      <c r="E2" s="2">
        <f>IFERROR(__xludf.DUMMYFUNCTION("""COMPUTED_VALUE"""),2)</f>
        <v>2</v>
      </c>
    </row>
    <row r="3" customHeight="1" spans="1:5">
      <c r="A3" s="2" t="str">
        <f>IFERROR(__xludf.DUMMYFUNCTION("""COMPUTED_VALUE"""),"B2000000")</f>
        <v>B2000000</v>
      </c>
      <c r="B3" s="2" t="str">
        <f>IFERROR(__xludf.DUMMYFUNCTION("""COMPUTED_VALUE"""),"Mai Thanh")</f>
        <v>Mai Thanh</v>
      </c>
      <c r="C3" s="2" t="str">
        <f>IFERROR(__xludf.DUMMYFUNCTION("""COMPUTED_VALUE"""),"Dat")</f>
        <v>Dat</v>
      </c>
      <c r="D3" s="2" t="str">
        <f>IFERROR(__xludf.DUMMYFUNCTION("""COMPUTED_VALUE"""),"Information Technology")</f>
        <v>Information Technology</v>
      </c>
      <c r="E3" s="2">
        <f>IFERROR(__xludf.DUMMYFUNCTION("""COMPUTED_VALUE"""),2)</f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 hop</vt:lpstr>
      <vt:lpstr>1. SV nganh CNTT</vt:lpstr>
      <vt:lpstr>2. SV lop_DI18T9A1_mon NT_CNTT</vt:lpstr>
      <vt:lpstr>3. SV diem_D_F</vt:lpstr>
      <vt:lpstr>4. SV dang ky hoc hon 1 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Huong B2509731</cp:lastModifiedBy>
  <dcterms:created xsi:type="dcterms:W3CDTF">2026-02-02T10:17:13Z</dcterms:created>
  <dcterms:modified xsi:type="dcterms:W3CDTF">2026-02-02T10:17:24Z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7A3AFF96CF4741D5933104D48B408E9F_12</vt:lpwstr>
  </property>
  <property fmtid="{D5CDD505-2E9C-101B-9397-08002B2CF9AE}" pid="3" name="KSOProductBuildVer">
    <vt:lpwstr>1033-12.2.0.23196</vt:lpwstr>
  </property>
</Properties>
</file>