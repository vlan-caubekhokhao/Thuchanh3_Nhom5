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9cc18c144114641/Documents/MOS/"/>
    </mc:Choice>
  </mc:AlternateContent>
  <xr:revisionPtr revIDLastSave="289" documentId="8_{A2D5D929-41C2-4578-A985-354B9207E066}" xr6:coauthVersionLast="47" xr6:coauthVersionMax="47" xr10:uidLastSave="{6FD3521F-4205-41D9-9BA7-9ABA30EC25E4}"/>
  <bookViews>
    <workbookView xWindow="-108" yWindow="-108" windowWidth="23256" windowHeight="12456" firstSheet="1" activeTab="2" xr2:uid="{74F8C960-74E2-4814-AD01-5E8E0B85FFD3}"/>
  </bookViews>
  <sheets>
    <sheet name="Sinh viên điểm &lt;7" sheetId="6" r:id="rId1"/>
    <sheet name="Sinh viên điểm &gt;7" sheetId="7" r:id="rId2"/>
    <sheet name="Điểm tổng hợp" sheetId="1" r:id="rId3"/>
    <sheet name="Các bảng tham chiếu &amp; Thống kê" sheetId="5" r:id="rId4"/>
    <sheet name="Điểm thực hành các buổi " sheetId="2" r:id="rId5"/>
    <sheet name="Điểm bài tập lớn" sheetId="3" r:id="rId6"/>
    <sheet name="Điểm lý thuyết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J9" i="1"/>
  <c r="J10" i="1"/>
  <c r="J11" i="1"/>
  <c r="J12" i="1"/>
  <c r="J13" i="1"/>
  <c r="J14" i="1"/>
  <c r="J15" i="1"/>
  <c r="J16" i="1"/>
  <c r="J17" i="1"/>
  <c r="J18" i="1"/>
  <c r="J19" i="1"/>
  <c r="J20" i="1"/>
  <c r="K20" i="1" s="1"/>
  <c r="J21" i="1"/>
  <c r="J22" i="1"/>
  <c r="J23" i="1"/>
  <c r="J24" i="1"/>
  <c r="J25" i="1"/>
  <c r="J26" i="1"/>
  <c r="J27" i="1"/>
  <c r="J28" i="1"/>
  <c r="J29" i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J39" i="1"/>
  <c r="K39" i="1" s="1"/>
  <c r="J40" i="1"/>
  <c r="J41" i="1"/>
  <c r="J42" i="1"/>
  <c r="K42" i="1" s="1"/>
  <c r="J43" i="1"/>
  <c r="J44" i="1"/>
  <c r="J45" i="1"/>
  <c r="J7" i="1"/>
  <c r="I8" i="1"/>
  <c r="K8" i="1" s="1"/>
  <c r="I9" i="1"/>
  <c r="I10" i="1"/>
  <c r="K10" i="1" s="1"/>
  <c r="I11" i="1"/>
  <c r="I12" i="1"/>
  <c r="I13" i="1"/>
  <c r="I14" i="1"/>
  <c r="K14" i="1" s="1"/>
  <c r="I15" i="1"/>
  <c r="I16" i="1"/>
  <c r="I17" i="1"/>
  <c r="I18" i="1"/>
  <c r="I19" i="1"/>
  <c r="I20" i="1"/>
  <c r="I21" i="1"/>
  <c r="I22" i="1"/>
  <c r="I23" i="1"/>
  <c r="I24" i="1"/>
  <c r="I25" i="1"/>
  <c r="I26" i="1"/>
  <c r="K26" i="1" s="1"/>
  <c r="I27" i="1"/>
  <c r="K27" i="1" s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K43" i="1" s="1"/>
  <c r="I44" i="1"/>
  <c r="I45" i="1"/>
  <c r="I7" i="1"/>
  <c r="F24" i="5"/>
  <c r="K17" i="1"/>
  <c r="K24" i="1"/>
  <c r="K12" i="1"/>
  <c r="K13" i="1"/>
  <c r="K29" i="1"/>
  <c r="K44" i="1"/>
  <c r="K45" i="1"/>
  <c r="K15" i="1"/>
  <c r="K28" i="1"/>
  <c r="K9" i="1"/>
  <c r="K16" i="1"/>
  <c r="K21" i="1"/>
  <c r="K25" i="1"/>
  <c r="K40" i="1"/>
  <c r="K41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7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7" i="1"/>
  <c r="C7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8" i="1"/>
  <c r="C9" i="1"/>
  <c r="C10" i="1"/>
  <c r="C11" i="1"/>
  <c r="C12" i="1"/>
  <c r="K11" i="1" l="1"/>
  <c r="K38" i="1"/>
  <c r="K22" i="1"/>
  <c r="K19" i="1"/>
  <c r="K18" i="1"/>
  <c r="K23" i="1"/>
  <c r="F27" i="5"/>
  <c r="A2" i="6" a="1"/>
  <c r="A2" i="6" s="1"/>
  <c r="K7" i="1"/>
  <c r="A2" i="7" s="1" a="1"/>
  <c r="A2" i="7" s="1"/>
  <c r="F19" i="5" l="1"/>
  <c r="F18" i="5"/>
  <c r="F17" i="5"/>
  <c r="F20" i="5"/>
  <c r="F21" i="5"/>
  <c r="F16" i="5"/>
  <c r="F15" i="5"/>
  <c r="F1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<sst xmlns="http://schemas.openxmlformats.org/spreadsheetml/2006/main" count="444" uniqueCount="175">
  <si>
    <t>Ma CB</t>
  </si>
  <si>
    <t>Ho va ten</t>
  </si>
  <si>
    <t>Nguyen Minh Trung</t>
  </si>
  <si>
    <t>Ma MH</t>
  </si>
  <si>
    <t>Ma NH</t>
  </si>
  <si>
    <t>Nam hoc</t>
  </si>
  <si>
    <t>Hoc ky</t>
  </si>
  <si>
    <t>STT</t>
  </si>
  <si>
    <t>Mã SV</t>
  </si>
  <si>
    <t>Họ và Tên</t>
  </si>
  <si>
    <t>Điểm TH 1</t>
  </si>
  <si>
    <t>Điểm TH 2</t>
  </si>
  <si>
    <t>Điểm TH 3</t>
  </si>
  <si>
    <t>Điểm BT lớn</t>
  </si>
  <si>
    <t>Điểm LT</t>
  </si>
  <si>
    <t>Điểm tổng</t>
  </si>
  <si>
    <t>Điểm theo thang điểm 10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</si>
  <si>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</si>
  <si>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</si>
  <si>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</si>
  <si>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</si>
  <si>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</si>
  <si>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</si>
  <si>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</si>
  <si>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</si>
  <si>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0B1605257</t>
  </si>
  <si>
    <t>3B1605281</t>
  </si>
  <si>
    <t>0B1605285</t>
  </si>
  <si>
    <t>0B1605291</t>
  </si>
  <si>
    <t>1B1605344</t>
  </si>
  <si>
    <t>0B1606845</t>
  </si>
  <si>
    <t>0B1607017</t>
  </si>
  <si>
    <t>4B1607025</t>
  </si>
  <si>
    <t>0B1609533</t>
  </si>
  <si>
    <t>2B1609759</t>
  </si>
  <si>
    <t>0B1609762</t>
  </si>
  <si>
    <t>5B1609765</t>
  </si>
  <si>
    <t>0B1609773</t>
  </si>
  <si>
    <t>0B1704708</t>
  </si>
  <si>
    <t>1B1706550</t>
  </si>
  <si>
    <t>0B1706555</t>
  </si>
  <si>
    <t>2B1706560</t>
  </si>
  <si>
    <t>1B1706589</t>
  </si>
  <si>
    <t>0B1706597</t>
  </si>
  <si>
    <t>0B1706606</t>
  </si>
  <si>
    <t>0B1706610</t>
  </si>
  <si>
    <t>0B1706626</t>
  </si>
  <si>
    <t>3B1706630</t>
  </si>
  <si>
    <t>0B1706633</t>
  </si>
  <si>
    <t>0B1706641</t>
  </si>
  <si>
    <t>3B1706643</t>
  </si>
  <si>
    <t>1B1706655</t>
  </si>
  <si>
    <t>0B1706666</t>
  </si>
  <si>
    <t>1B1706877</t>
  </si>
  <si>
    <t>0B1706892</t>
  </si>
  <si>
    <t>0B1709289</t>
  </si>
  <si>
    <t>1B1709313</t>
  </si>
  <si>
    <t>Bảng Điểm thực hành các buổi</t>
  </si>
  <si>
    <t>B1505719</t>
  </si>
  <si>
    <t>Nguyễn Phước Hiếu</t>
  </si>
  <si>
    <t>B1505915</t>
  </si>
  <si>
    <t>Lý Minh Trí</t>
  </si>
  <si>
    <t>B1509874</t>
  </si>
  <si>
    <t>Nguyễn Kiều Mi</t>
  </si>
  <si>
    <t>B1509929</t>
  </si>
  <si>
    <t>Đặng Duy Linh</t>
  </si>
  <si>
    <t>B1605223</t>
  </si>
  <si>
    <t>Lê Thị Trúc Linh</t>
  </si>
  <si>
    <t>B1605235</t>
  </si>
  <si>
    <t>Phạm Thị Huỳnh Như</t>
  </si>
  <si>
    <t>B1605249</t>
  </si>
  <si>
    <t>Lê Minh Thông</t>
  </si>
  <si>
    <t>B1605257</t>
  </si>
  <si>
    <t>Quách Thu Vân</t>
  </si>
  <si>
    <t>B1605281</t>
  </si>
  <si>
    <t>Trần Thị Kim Khoa</t>
  </si>
  <si>
    <t>B1605285</t>
  </si>
  <si>
    <t>Huỳnh Thị Hồng Loan</t>
  </si>
  <si>
    <t>B1605291</t>
  </si>
  <si>
    <t>Trần Thị Thanh Nguyên</t>
  </si>
  <si>
    <t>B1605344</t>
  </si>
  <si>
    <t>Nguyễn Thị Thúy Nga</t>
  </si>
  <si>
    <t>B1606845</t>
  </si>
  <si>
    <t>Vũ Mạnh Thắng</t>
  </si>
  <si>
    <t>B1607017</t>
  </si>
  <si>
    <t>Cao Ngọc Quyên</t>
  </si>
  <si>
    <t>B1607025</t>
  </si>
  <si>
    <t>Nguyễn Chí Thanh</t>
  </si>
  <si>
    <t>B1609533</t>
  </si>
  <si>
    <t>Nguyễn Bích Ngân</t>
  </si>
  <si>
    <t>B1609759</t>
  </si>
  <si>
    <t>Nguyễn Hải Anh</t>
  </si>
  <si>
    <t>B1609762</t>
  </si>
  <si>
    <t>Nguyễn Hoàng Châu</t>
  </si>
  <si>
    <t>B1609765</t>
  </si>
  <si>
    <t>Trần Nam Dương</t>
  </si>
  <si>
    <t>B1609773</t>
  </si>
  <si>
    <t>Đào Nguyễn Duy Khanh</t>
  </si>
  <si>
    <t>B1704708</t>
  </si>
  <si>
    <t>Ngô Hùng Vĩ</t>
  </si>
  <si>
    <t>B1706550</t>
  </si>
  <si>
    <t>Lê Thanh Tùng</t>
  </si>
  <si>
    <t>B1706555</t>
  </si>
  <si>
    <t>Lê Hồng Quốc Vương</t>
  </si>
  <si>
    <t>B1706560</t>
  </si>
  <si>
    <t>Huỳnh Hoàng Ẩn</t>
  </si>
  <si>
    <t>B1706589</t>
  </si>
  <si>
    <t>Hồ Thị Mỷ Huyền</t>
  </si>
  <si>
    <t>B1706597</t>
  </si>
  <si>
    <t>Đặng Trung Kiên</t>
  </si>
  <si>
    <t>B1706606</t>
  </si>
  <si>
    <t>Ngụy Hữu Lộc</t>
  </si>
  <si>
    <t>B1706610</t>
  </si>
  <si>
    <t>Nguyễn Trà Mi</t>
  </si>
  <si>
    <t>B1706626</t>
  </si>
  <si>
    <t>Lại Ngọc Hoàng Phi</t>
  </si>
  <si>
    <t>B1706630</t>
  </si>
  <si>
    <t>Nguyễn Khắc Minh Phúc</t>
  </si>
  <si>
    <t>B1706633</t>
  </si>
  <si>
    <t>Trần Thị Hoàng Quyên</t>
  </si>
  <si>
    <t>B1706641</t>
  </si>
  <si>
    <t>Trương Quốc Thái</t>
  </si>
  <si>
    <t>B1706643</t>
  </si>
  <si>
    <t>Nguyễn Thị Phương Thảo</t>
  </si>
  <si>
    <t>B1706655</t>
  </si>
  <si>
    <t>Nguyễn Chí Tôn</t>
  </si>
  <si>
    <t>B1706666</t>
  </si>
  <si>
    <t>Trịnh Uyên</t>
  </si>
  <si>
    <t>B1706877</t>
  </si>
  <si>
    <t>Nguyễn Anh Thư</t>
  </si>
  <si>
    <t>B1706892</t>
  </si>
  <si>
    <t>Huỳnh Lê Tỷ</t>
  </si>
  <si>
    <t>B1709289</t>
  </si>
  <si>
    <t>Nguyễn Ngọc Luyến</t>
  </si>
  <si>
    <t>B1709313</t>
  </si>
  <si>
    <t>Võ Thị Thùy Trang</t>
  </si>
  <si>
    <t>Bảng Điểm bài tập lớn</t>
  </si>
  <si>
    <t>Điểm BL lớn</t>
  </si>
  <si>
    <t>Bảng Điểm lý thuyết</t>
  </si>
  <si>
    <t>Điểm lý thuyết</t>
  </si>
  <si>
    <t>Bảng quy đổi điểm</t>
  </si>
  <si>
    <t>Bảng Điểm Chuyên cần</t>
  </si>
  <si>
    <t>Điểm theo thang điểm 4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</si>
  <si>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</si>
  <si>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</si>
  <si>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</si>
  <si>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</si>
  <si>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</si>
  <si>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</si>
  <si>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</si>
  <si>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</si>
  <si>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</si>
  <si>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</si>
  <si>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Bảng Danh sách Sinh viên</t>
  </si>
  <si>
    <t>Bảng thống kê theo điểm chữ</t>
  </si>
  <si>
    <t>Số lượng sinh viên</t>
  </si>
  <si>
    <t>Bảng thống kê SV</t>
  </si>
  <si>
    <t>Số sinh viên điểm BT lớn =0 hoặc điểm LT =-3</t>
  </si>
  <si>
    <t>Số SV có Điểm theo thang điểm 10 &gt;= 7 và có Điểm chữ là B+ hoặc A</t>
  </si>
  <si>
    <t>MSSV</t>
  </si>
  <si>
    <t>Họ và tên</t>
  </si>
  <si>
    <t>TH1</t>
  </si>
  <si>
    <t>TH2</t>
  </si>
  <si>
    <t>TH3</t>
  </si>
  <si>
    <t>Lý thuyết</t>
  </si>
  <si>
    <t>ĐiểmBT lớn</t>
  </si>
  <si>
    <t>Điểm theo
thang điểm 10</t>
  </si>
  <si>
    <t xml:space="preserve">Điểm chữ </t>
  </si>
  <si>
    <t xml:space="preserve"> TH2</t>
  </si>
  <si>
    <t>Điểm theo 
thang điểm 10</t>
  </si>
  <si>
    <t>Điểm 
TB lớn</t>
  </si>
  <si>
    <t>Điểm thi HK1 2018-2019(CT428)</t>
  </si>
  <si>
    <t>CT428</t>
  </si>
  <si>
    <t>2020-2021</t>
  </si>
  <si>
    <t>Điểm lý
 thuyết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</si>
</sst>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b/>
      <sz val="16"/>
      <color indexed="8"/>
      <name val="Times New Roman"/>
      <charset val="134"/>
    </font>
    <font>
      <sz val="12"/>
      <color indexed="8"/>
      <name val="Times New Roman"/>
      <charset val="134"/>
    </font>
    <font>
      <b/>
      <sz val="12"/>
      <color indexed="8"/>
      <name val="Times New Roman"/>
      <charset val="134"/>
    </font>
    <font>
      <sz val="12"/>
      <color indexed="8"/>
      <name val="Arial"/>
      <charset val="134"/>
    </font>
    <font>
      <sz val="12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indexed="8"/>
      <name val="Times New Roman"/>
      <family val="1"/>
    </font>
    <font>
      <b/>
      <sz val="12"/>
      <color indexed="56"/>
      <name val="Times New Roman"/>
      <family val="1"/>
    </font>
    <font>
      <b/>
      <sz val="12"/>
      <color rgb="FF003366"/>
      <name val="Times New Roman"/>
      <family val="1"/>
    </font>
    <font>
      <b/>
      <sz val="12"/>
      <color indexed="8"/>
      <name val="Times New Roman"/>
      <family val="1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BFBFBF"/>
        <bgColor indexed="64"/>
      </patternFill>
    </fill>
  </fills>
  <borders count="19">
    <border>
      <left/>
      <right/>
      <top/>
      <bottom/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5">
    <xf numFmtId="0" fontId="0" fillId="0" borderId="0" xfId="0"/>
    <xf numFmtId="0" fontId="2" fillId="0" borderId="5" xfId="0" applyFont="1" applyBorder="1" applyAlignment="1">
      <alignment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3" fillId="3" borderId="4" xfId="0" applyFont="1" applyFill="1" applyBorder="1" applyAlignment="1">
      <alignment horizontal="center" vertical="center" wrapText="1" readingOrder="1"/>
    </xf>
    <xf numFmtId="0" fontId="3" fillId="3" borderId="5" xfId="0" applyFont="1" applyFill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wrapText="1" readingOrder="1"/>
    </xf>
    <xf numFmtId="0" fontId="3" fillId="4" borderId="5" xfId="0" applyFont="1" applyFill="1" applyBorder="1" applyAlignment="1">
      <alignment horizontal="center" vertical="center" wrapText="1" readingOrder="1"/>
    </xf>
    <xf numFmtId="0" fontId="3" fillId="5" borderId="4" xfId="0" applyFont="1" applyFill="1" applyBorder="1" applyAlignment="1">
      <alignment horizontal="center" vertical="center" wrapText="1" readingOrder="1"/>
    </xf>
    <xf numFmtId="0" fontId="3" fillId="5" borderId="5" xfId="0" applyFont="1" applyFill="1" applyBorder="1" applyAlignment="1">
      <alignment horizontal="center" vertical="center" wrapText="1" readingOrder="1"/>
    </xf>
    <xf numFmtId="0" fontId="2" fillId="0" borderId="5" xfId="0" applyFont="1" applyBorder="1" applyAlignment="1">
      <alignment horizontal="right" vertical="center" wrapText="1" readingOrder="1"/>
    </xf>
    <xf numFmtId="0" fontId="5" fillId="0" borderId="0" xfId="0" applyFont="1"/>
    <xf numFmtId="0" fontId="5" fillId="0" borderId="18" xfId="0" applyFont="1" applyBorder="1"/>
    <xf numFmtId="0" fontId="5" fillId="2" borderId="18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vertical="center" wrapText="1" readingOrder="1"/>
    </xf>
    <xf numFmtId="0" fontId="7" fillId="0" borderId="12" xfId="0" applyFont="1" applyBorder="1" applyAlignment="1">
      <alignment vertical="center" wrapText="1" readingOrder="1"/>
    </xf>
    <xf numFmtId="0" fontId="8" fillId="6" borderId="4" xfId="0" applyFont="1" applyFill="1" applyBorder="1" applyAlignment="1">
      <alignment horizontal="center" vertical="center" wrapText="1" readingOrder="1"/>
    </xf>
    <xf numFmtId="0" fontId="8" fillId="6" borderId="5" xfId="0" applyFont="1" applyFill="1" applyBorder="1" applyAlignment="1">
      <alignment horizontal="center" vertical="center" wrapText="1" readingOrder="1"/>
    </xf>
    <xf numFmtId="0" fontId="8" fillId="6" borderId="5" xfId="0" applyFont="1" applyFill="1" applyBorder="1" applyAlignment="1">
      <alignment horizontal="center" vertical="center" readingOrder="1"/>
    </xf>
    <xf numFmtId="0" fontId="7" fillId="0" borderId="4" xfId="0" applyFont="1" applyBorder="1" applyAlignment="1">
      <alignment horizontal="right" readingOrder="1"/>
    </xf>
    <xf numFmtId="0" fontId="7" fillId="0" borderId="5" xfId="0" applyFont="1" applyBorder="1" applyAlignment="1">
      <alignment horizontal="right" readingOrder="1"/>
    </xf>
    <xf numFmtId="0" fontId="7" fillId="0" borderId="5" xfId="0" applyFont="1" applyBorder="1" applyAlignment="1">
      <alignment horizontal="center" readingOrder="1"/>
    </xf>
    <xf numFmtId="0" fontId="7" fillId="0" borderId="13" xfId="0" applyFont="1" applyBorder="1" applyAlignment="1">
      <alignment vertical="center" wrapText="1" readingOrder="1"/>
    </xf>
    <xf numFmtId="0" fontId="7" fillId="0" borderId="14" xfId="0" applyFont="1" applyBorder="1" applyAlignment="1">
      <alignment wrapText="1" readingOrder="1"/>
    </xf>
    <xf numFmtId="0" fontId="7" fillId="0" borderId="14" xfId="0" applyFont="1" applyBorder="1" applyAlignment="1">
      <alignment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wrapText="1" readingOrder="1"/>
    </xf>
    <xf numFmtId="0" fontId="11" fillId="2" borderId="18" xfId="0" applyFont="1" applyFill="1" applyBorder="1" applyAlignment="1">
      <alignment horizontal="center" vertical="center"/>
    </xf>
    <xf numFmtId="0" fontId="11" fillId="2" borderId="18" xfId="1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 readingOrder="1"/>
    </xf>
    <xf numFmtId="0" fontId="7" fillId="0" borderId="18" xfId="0" applyFont="1" applyBorder="1" applyAlignment="1">
      <alignment horizontal="center" vertical="center" wrapText="1" readingOrder="1"/>
    </xf>
    <xf numFmtId="0" fontId="10" fillId="0" borderId="15" xfId="0" applyFont="1" applyBorder="1" applyAlignment="1">
      <alignment vertical="center" wrapText="1"/>
    </xf>
    <xf numFmtId="0" fontId="10" fillId="0" borderId="17" xfId="0" applyFont="1" applyBorder="1" applyAlignment="1">
      <alignment vertical="center" wrapText="1"/>
    </xf>
    <xf numFmtId="0" fontId="10" fillId="0" borderId="16" xfId="0" applyFont="1" applyBorder="1" applyAlignment="1">
      <alignment vertical="center" wrapText="1"/>
    </xf>
    <xf numFmtId="0" fontId="10" fillId="0" borderId="15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8" fillId="6" borderId="11" xfId="0" applyFont="1" applyFill="1" applyBorder="1" applyAlignment="1">
      <alignment horizontal="center" vertical="center" readingOrder="1"/>
    </xf>
    <xf numFmtId="0" fontId="8" fillId="6" borderId="3" xfId="0" applyFont="1" applyFill="1" applyBorder="1" applyAlignment="1">
      <alignment horizontal="center" vertical="center" readingOrder="1"/>
    </xf>
    <xf numFmtId="0" fontId="8" fillId="6" borderId="2" xfId="0" applyFont="1" applyFill="1" applyBorder="1" applyAlignment="1">
      <alignment horizontal="center" vertical="center" readingOrder="1"/>
    </xf>
    <xf numFmtId="0" fontId="8" fillId="6" borderId="1" xfId="0" applyFont="1" applyFill="1" applyBorder="1" applyAlignment="1">
      <alignment horizontal="center" vertical="center" readingOrder="1"/>
    </xf>
    <xf numFmtId="0" fontId="9" fillId="6" borderId="9" xfId="0" applyFont="1" applyFill="1" applyBorder="1" applyAlignment="1">
      <alignment horizontal="center" vertical="center" wrapText="1" readingOrder="1"/>
    </xf>
    <xf numFmtId="0" fontId="8" fillId="6" borderId="8" xfId="0" applyFont="1" applyFill="1" applyBorder="1" applyAlignment="1">
      <alignment horizontal="center" vertical="center" wrapText="1" readingOrder="1"/>
    </xf>
    <xf numFmtId="0" fontId="8" fillId="6" borderId="7" xfId="0" applyFont="1" applyFill="1" applyBorder="1" applyAlignment="1">
      <alignment horizontal="center" vertical="center" wrapText="1" readingOrder="1"/>
    </xf>
    <xf numFmtId="0" fontId="8" fillId="6" borderId="6" xfId="0" applyFont="1" applyFill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0" fontId="10" fillId="0" borderId="7" xfId="0" applyFont="1" applyBorder="1" applyAlignment="1">
      <alignment horizontal="center" vertical="center" wrapText="1" readingOrder="1"/>
    </xf>
    <xf numFmtId="0" fontId="1" fillId="3" borderId="9" xfId="0" applyFont="1" applyFill="1" applyBorder="1" applyAlignment="1">
      <alignment horizontal="center" vertical="center" wrapText="1" readingOrder="1"/>
    </xf>
    <xf numFmtId="0" fontId="1" fillId="3" borderId="8" xfId="0" applyFont="1" applyFill="1" applyBorder="1" applyAlignment="1">
      <alignment horizontal="center" vertical="center" wrapText="1" readingOrder="1"/>
    </xf>
    <xf numFmtId="0" fontId="1" fillId="3" borderId="10" xfId="0" applyFont="1" applyFill="1" applyBorder="1" applyAlignment="1">
      <alignment horizontal="center" vertical="center" wrapText="1" readingOrder="1"/>
    </xf>
    <xf numFmtId="0" fontId="1" fillId="4" borderId="1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center" vertical="center" wrapText="1" readingOrder="1"/>
    </xf>
    <xf numFmtId="0" fontId="1" fillId="5" borderId="11" xfId="0" applyFont="1" applyFill="1" applyBorder="1" applyAlignment="1">
      <alignment horizontal="center" vertical="center" wrapText="1" readingOrder="1"/>
    </xf>
    <xf numFmtId="0" fontId="1" fillId="5" borderId="3" xfId="0" applyFont="1" applyFill="1" applyBorder="1" applyAlignment="1">
      <alignment horizontal="center" vertical="center" wrapText="1" readingOrder="1"/>
    </xf>
    <xf numFmtId="0" fontId="1" fillId="5" borderId="2" xfId="0" applyFont="1" applyFill="1" applyBorder="1" applyAlignment="1">
      <alignment horizontal="center" vertical="center" wrapText="1" readingOrder="1"/>
    </xf>
    <xf numFmtId="0" fontId="5" fillId="0" borderId="0" xfId="0" applyFont="1" applyBorder="1"/>
    <xf numFmtId="0" fontId="10" fillId="2" borderId="18" xfId="0" applyFont="1" applyFill="1" applyBorder="1" applyAlignment="1">
      <alignment horizontal="center" vertical="center" wrapText="1" readingOrder="1"/>
    </xf>
    <xf numFmtId="0" fontId="10" fillId="2" borderId="18" xfId="0" applyFont="1" applyFill="1" applyBorder="1" applyAlignment="1">
      <alignment horizontal="center" vertical="center" wrapText="1" readingOrder="1"/>
    </xf>
    <xf numFmtId="0" fontId="7" fillId="0" borderId="18" xfId="0" applyFont="1" applyBorder="1" applyAlignment="1">
      <alignment horizontal="left" vertical="center" wrapText="1" readingOrder="1"/>
    </xf>
    <xf numFmtId="0" fontId="7" fillId="0" borderId="18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Thống</a:t>
            </a:r>
            <a:r>
              <a:rPr lang="en-US" baseline="0"/>
              <a:t> kê số lượng Sinh viên</a:t>
            </a:r>
            <a:br>
              <a:rPr lang="en-US" baseline="0"/>
            </a:br>
            <a:r>
              <a:rPr lang="en-US" baseline="0"/>
              <a:t>theo điểm chữ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904E-4483-95BB-F972B3ED85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904E-4483-95BB-F972B3ED85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904E-4483-95BB-F972B3ED85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904E-4483-95BB-F972B3ED854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904E-4483-95BB-F972B3ED854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904E-4483-95BB-F972B3ED854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904E-4483-95BB-F972B3ED854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904E-4483-95BB-F972B3ED854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'Các bảng tham chiếu &amp; Thống kê'!$E$14:$E$21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'Các bảng tham chiếu &amp; Thống kê'!$F$14:$F$21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7</c:v>
                </c:pt>
                <c:pt idx="3">
                  <c:v>6</c:v>
                </c:pt>
                <c:pt idx="4">
                  <c:v>9</c:v>
                </c:pt>
                <c:pt idx="5">
                  <c:v>1</c:v>
                </c:pt>
                <c:pt idx="6">
                  <c:v>1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A-4A4B-BEBE-CC648DC5C65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21771</xdr:colOff>
      <xdr:row>2</xdr:row>
      <xdr:rowOff>81641</xdr:rowOff>
    </xdr:from>
    <xdr:to>
      <xdr:col>17</xdr:col>
      <xdr:colOff>217714</xdr:colOff>
      <xdr:row>16</xdr:row>
      <xdr:rowOff>65314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5E6CE-3948-B50D-6E90-4DC71BE985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TH@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F6E7-2E75-4405-AF1A-0739FD077E51}">
  <dimension ref="A1:K21"/>
  <sheetViews>
    <sheetView workbookViewId="0">
      <selection activeCell="L5" sqref="L5"/>
    </sheetView>
  </sheetViews>
  <sheetFormatPr defaultRowHeight="15.6"/>
  <cols>
    <col min="1" max="1" width="8.88671875" style="12"/>
    <col min="2" max="2" width="11.77734375" style="12" customWidth="1"/>
    <col min="3" max="3" width="22" style="12" customWidth="1"/>
    <col min="4" max="7" width="6.77734375" style="12" customWidth="1"/>
    <col min="8" max="8" width="7.5546875" style="12" customWidth="1"/>
    <col min="9" max="9" width="9.109375" style="12" customWidth="1"/>
    <col min="10" max="10" width="14.88671875" style="12" customWidth="1"/>
    <col min="11" max="11" width="9.44140625" style="12" customWidth="1"/>
  </cols>
  <sheetData>
    <row r="1" spans="1:11" ht="28.8" customHeight="1">
      <c r="A1" s="14" t="s">
        <v>7</v>
      </c>
      <c r="B1" s="14" t="s">
        <v>159</v>
      </c>
      <c r="C1" s="14" t="s">
        <v>160</v>
      </c>
      <c r="D1" s="14" t="s">
        <v>161</v>
      </c>
      <c r="E1" s="14" t="s">
        <v>162</v>
      </c>
      <c r="F1" s="14" t="s">
        <v>163</v>
      </c>
      <c r="G1" s="14" t="s">
        <v>165</v>
      </c>
      <c r="H1" s="14" t="s">
        <v>164</v>
      </c>
      <c r="I1" s="14" t="s">
        <v>15</v>
      </c>
      <c r="J1" s="15" t="s">
        <v>166</v>
      </c>
      <c r="K1" s="14" t="s">
        <v>167</v>
      </c>
    </row>
    <row r="2" spans="1:11">
      <c r="A2" s="13" cm="1">
        <f t="array" ref="A2:K10">_xlfn._xlws.FILTER('Điểm tổng hợp'!A7:K45,'Điểm tổng hợp'!J7:J45&lt;2,"khong")</f>
        <v>9</v>
      </c>
      <c r="B2" s="13" t="str">
        <v>3B1605281</v>
      </c>
      <c r="C2" s="13" t="str">
        <v>Trần Thị Kim Khoa</v>
      </c>
      <c r="D2" s="13">
        <v>0.5</v>
      </c>
      <c r="E2" s="13">
        <v>0.4</v>
      </c>
      <c r="F2" s="13">
        <v>0.4</v>
      </c>
      <c r="G2" s="13">
        <v>1</v>
      </c>
      <c r="H2" s="13">
        <v>-3</v>
      </c>
      <c r="I2" s="13">
        <v>0</v>
      </c>
      <c r="J2" s="13">
        <v>0</v>
      </c>
      <c r="K2" s="13" t="str">
        <v>F</v>
      </c>
    </row>
    <row r="3" spans="1:11">
      <c r="A3" s="13">
        <v>10</v>
      </c>
      <c r="B3" s="13" t="str">
        <v>0B1605285</v>
      </c>
      <c r="C3" s="13" t="str">
        <v>Huỳnh Thị Hồng Loan</v>
      </c>
      <c r="D3" s="13">
        <v>0.45</v>
      </c>
      <c r="E3" s="13">
        <v>0.4</v>
      </c>
      <c r="F3" s="13">
        <v>0.45</v>
      </c>
      <c r="G3" s="13">
        <v>0</v>
      </c>
      <c r="H3" s="13">
        <v>6.8</v>
      </c>
      <c r="I3" s="13">
        <v>5.4</v>
      </c>
      <c r="J3" s="13">
        <v>0</v>
      </c>
      <c r="K3" s="13" t="str">
        <v>F</v>
      </c>
    </row>
    <row r="4" spans="1:11">
      <c r="A4" s="13">
        <v>15</v>
      </c>
      <c r="B4" s="13" t="str">
        <v>4B1607025</v>
      </c>
      <c r="C4" s="13" t="str">
        <v>Nguyễn Chí Thanh</v>
      </c>
      <c r="D4" s="13">
        <v>0.4</v>
      </c>
      <c r="E4" s="13">
        <v>0.45</v>
      </c>
      <c r="F4" s="13">
        <v>0.4</v>
      </c>
      <c r="G4" s="13">
        <v>0.3</v>
      </c>
      <c r="H4" s="13">
        <v>-3</v>
      </c>
      <c r="I4" s="13">
        <v>0</v>
      </c>
      <c r="J4" s="13">
        <v>0</v>
      </c>
      <c r="K4" s="13" t="str">
        <v>F</v>
      </c>
    </row>
    <row r="5" spans="1:11">
      <c r="A5" s="13">
        <v>19</v>
      </c>
      <c r="B5" s="13" t="str">
        <v>5B1609765</v>
      </c>
      <c r="C5" s="13" t="str">
        <v>Trần Nam Dương</v>
      </c>
      <c r="D5" s="13">
        <v>0.4</v>
      </c>
      <c r="E5" s="13">
        <v>0.4</v>
      </c>
      <c r="F5" s="13">
        <v>0.35</v>
      </c>
      <c r="G5" s="13">
        <v>1.35</v>
      </c>
      <c r="H5" s="13">
        <v>-3</v>
      </c>
      <c r="I5" s="13">
        <v>0</v>
      </c>
      <c r="J5" s="13">
        <v>0</v>
      </c>
      <c r="K5" s="13" t="str">
        <v>F</v>
      </c>
    </row>
    <row r="6" spans="1:11">
      <c r="A6" s="13">
        <v>22</v>
      </c>
      <c r="B6" s="13" t="str">
        <v>1B1706550</v>
      </c>
      <c r="C6" s="13" t="str">
        <v>Lê Thanh Tùng</v>
      </c>
      <c r="D6" s="13">
        <v>0.4</v>
      </c>
      <c r="E6" s="13">
        <v>0.4</v>
      </c>
      <c r="F6" s="13">
        <v>0.4</v>
      </c>
      <c r="G6" s="13">
        <v>0</v>
      </c>
      <c r="H6" s="13">
        <v>4.5</v>
      </c>
      <c r="I6" s="13">
        <v>3.9</v>
      </c>
      <c r="J6" s="13">
        <v>0</v>
      </c>
      <c r="K6" s="13" t="str">
        <v>F</v>
      </c>
    </row>
    <row r="7" spans="1:11">
      <c r="A7" s="13">
        <v>29</v>
      </c>
      <c r="B7" s="13" t="str">
        <v>0B1706626</v>
      </c>
      <c r="C7" s="13" t="str">
        <v>Lại Ngọc Hoàng Phi</v>
      </c>
      <c r="D7" s="13">
        <v>0.5</v>
      </c>
      <c r="E7" s="13">
        <v>0.5</v>
      </c>
      <c r="F7" s="13">
        <v>0.5</v>
      </c>
      <c r="G7" s="13">
        <v>0</v>
      </c>
      <c r="H7" s="13">
        <v>7.7</v>
      </c>
      <c r="I7" s="13">
        <v>6.1</v>
      </c>
      <c r="J7" s="13">
        <v>0</v>
      </c>
      <c r="K7" s="13" t="str">
        <v>F</v>
      </c>
    </row>
    <row r="8" spans="1:11">
      <c r="A8" s="13">
        <v>30</v>
      </c>
      <c r="B8" s="13" t="str">
        <v>3B1706630</v>
      </c>
      <c r="C8" s="13" t="str">
        <v>Nguyễn Khắc Minh Phúc</v>
      </c>
      <c r="D8" s="13">
        <v>0.5</v>
      </c>
      <c r="E8" s="13">
        <v>0.4</v>
      </c>
      <c r="F8" s="13">
        <v>0.45</v>
      </c>
      <c r="G8" s="13">
        <v>1</v>
      </c>
      <c r="H8" s="13">
        <v>-3</v>
      </c>
      <c r="I8" s="13">
        <v>0</v>
      </c>
      <c r="J8" s="13">
        <v>0</v>
      </c>
      <c r="K8" s="13" t="str">
        <v>F</v>
      </c>
    </row>
    <row r="9" spans="1:11">
      <c r="A9" s="13">
        <v>33</v>
      </c>
      <c r="B9" s="13" t="str">
        <v>3B1706643</v>
      </c>
      <c r="C9" s="13" t="str">
        <v>Nguyễn Thị Phương Thảo</v>
      </c>
      <c r="D9" s="13">
        <v>0.4</v>
      </c>
      <c r="E9" s="13">
        <v>0.45</v>
      </c>
      <c r="F9" s="13">
        <v>0.45</v>
      </c>
      <c r="G9" s="13">
        <v>1</v>
      </c>
      <c r="H9" s="13">
        <v>-3</v>
      </c>
      <c r="I9" s="13">
        <v>0</v>
      </c>
      <c r="J9" s="13">
        <v>0</v>
      </c>
      <c r="K9" s="13" t="str">
        <v>F</v>
      </c>
    </row>
    <row r="10" spans="1:11">
      <c r="A10" s="13">
        <v>35</v>
      </c>
      <c r="B10" s="13" t="str">
        <v>0B1706666</v>
      </c>
      <c r="C10" s="13" t="str">
        <v>Trịnh Uyên</v>
      </c>
      <c r="D10" s="13">
        <v>0.5</v>
      </c>
      <c r="E10" s="13">
        <v>0</v>
      </c>
      <c r="F10" s="13">
        <v>0</v>
      </c>
      <c r="G10" s="13">
        <v>0</v>
      </c>
      <c r="H10" s="13">
        <v>7.5</v>
      </c>
      <c r="I10" s="13">
        <v>5</v>
      </c>
      <c r="J10" s="13">
        <v>0</v>
      </c>
      <c r="K10" s="13" t="str">
        <v>F</v>
      </c>
    </row>
    <row r="11" spans="1:11">
      <c r="A11" s="60"/>
      <c r="B11" s="60"/>
      <c r="C11" s="60"/>
      <c r="D11" s="60"/>
      <c r="E11" s="60"/>
      <c r="F11" s="60"/>
      <c r="G11" s="60"/>
      <c r="H11" s="60"/>
      <c r="I11" s="60"/>
      <c r="J11" s="60"/>
      <c r="K11" s="60"/>
    </row>
    <row r="12" spans="1:11">
      <c r="A12" s="60"/>
      <c r="B12" s="60"/>
      <c r="C12" s="60"/>
      <c r="D12" s="60"/>
      <c r="E12" s="60"/>
      <c r="F12" s="60"/>
      <c r="G12" s="60"/>
      <c r="H12" s="60"/>
      <c r="I12" s="60"/>
      <c r="J12" s="60"/>
      <c r="K12" s="60"/>
    </row>
    <row r="13" spans="1:11">
      <c r="A13" s="60"/>
      <c r="B13" s="60"/>
      <c r="C13" s="60"/>
      <c r="D13" s="60"/>
      <c r="E13" s="60"/>
      <c r="F13" s="60"/>
      <c r="G13" s="60"/>
      <c r="H13" s="60"/>
      <c r="I13" s="60"/>
      <c r="J13" s="60"/>
      <c r="K13" s="60"/>
    </row>
    <row r="14" spans="1:11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</row>
    <row r="15" spans="1:11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</row>
    <row r="16" spans="1:11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</row>
    <row r="17" spans="1:11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</row>
    <row r="18" spans="1:11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</row>
    <row r="19" spans="1:11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</row>
    <row r="20" spans="1:11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</row>
    <row r="21" spans="1:11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D540D-C264-4798-BA9A-75FC51B0E864}">
  <dimension ref="A1:K31"/>
  <sheetViews>
    <sheetView workbookViewId="0">
      <selection activeCell="C1" sqref="C1"/>
    </sheetView>
  </sheetViews>
  <sheetFormatPr defaultRowHeight="15.6"/>
  <cols>
    <col min="1" max="1" width="8.88671875" style="12"/>
    <col min="2" max="2" width="12.6640625" style="12" customWidth="1"/>
    <col min="3" max="3" width="22.77734375" style="12" customWidth="1"/>
    <col min="4" max="9" width="9" style="12" customWidth="1"/>
    <col min="10" max="10" width="15.33203125" style="12" customWidth="1"/>
    <col min="11" max="11" width="9.6640625" style="12" customWidth="1"/>
  </cols>
  <sheetData>
    <row r="1" spans="1:11" ht="31.2">
      <c r="A1" s="30" t="s">
        <v>7</v>
      </c>
      <c r="B1" s="30" t="s">
        <v>159</v>
      </c>
      <c r="C1" s="30" t="s">
        <v>160</v>
      </c>
      <c r="D1" s="30" t="s">
        <v>161</v>
      </c>
      <c r="E1" s="31" t="s">
        <v>168</v>
      </c>
      <c r="F1" s="30" t="s">
        <v>163</v>
      </c>
      <c r="G1" s="32" t="s">
        <v>170</v>
      </c>
      <c r="H1" s="32" t="s">
        <v>174</v>
      </c>
      <c r="I1" s="30" t="s">
        <v>15</v>
      </c>
      <c r="J1" s="32" t="s">
        <v>169</v>
      </c>
      <c r="K1" s="30" t="s">
        <v>17</v>
      </c>
    </row>
    <row r="2" spans="1:11">
      <c r="A2" s="13" cm="1">
        <f t="array" ref="A2:K31">_xlfn._xlws.FILTER('Điểm tổng hợp'!A7:K45,'Điểm tổng hợp'!J7:J45&gt;=2,"khong")</f>
        <v>1</v>
      </c>
      <c r="B2" s="13" t="str">
        <v>0B1505719</v>
      </c>
      <c r="C2" s="13" t="str">
        <v>Nguyễn Phước Hiếu</v>
      </c>
      <c r="D2" s="13">
        <v>0.45</v>
      </c>
      <c r="E2" s="13">
        <v>0.25</v>
      </c>
      <c r="F2" s="13">
        <v>0.3</v>
      </c>
      <c r="G2" s="13">
        <v>0.5</v>
      </c>
      <c r="H2" s="13">
        <v>4.2</v>
      </c>
      <c r="I2" s="13">
        <v>4</v>
      </c>
      <c r="J2" s="13">
        <v>5</v>
      </c>
      <c r="K2" s="13" t="str">
        <v>D+</v>
      </c>
    </row>
    <row r="3" spans="1:11">
      <c r="A3" s="13">
        <v>2</v>
      </c>
      <c r="B3" s="13" t="str">
        <v>1B1505915</v>
      </c>
      <c r="C3" s="13" t="str">
        <v>Lý Minh Trí</v>
      </c>
      <c r="D3" s="13">
        <v>0.5</v>
      </c>
      <c r="E3" s="13">
        <v>0.35</v>
      </c>
      <c r="F3" s="13">
        <v>0.4</v>
      </c>
      <c r="G3" s="13">
        <v>1</v>
      </c>
      <c r="H3" s="13">
        <v>5.8</v>
      </c>
      <c r="I3" s="13">
        <v>5.7</v>
      </c>
      <c r="J3" s="13">
        <v>6.2</v>
      </c>
      <c r="K3" s="13" t="str">
        <v>C</v>
      </c>
    </row>
    <row r="4" spans="1:11">
      <c r="A4" s="13">
        <v>3</v>
      </c>
      <c r="B4" s="13" t="str">
        <v>0B1509874</v>
      </c>
      <c r="C4" s="13" t="str">
        <v>Nguyễn Kiều Mi</v>
      </c>
      <c r="D4" s="13">
        <v>0.25</v>
      </c>
      <c r="E4" s="13">
        <v>0.25</v>
      </c>
      <c r="F4" s="13">
        <v>0.3</v>
      </c>
      <c r="G4" s="13">
        <v>0.5</v>
      </c>
      <c r="H4" s="13">
        <v>5.8</v>
      </c>
      <c r="I4" s="13">
        <v>4.8</v>
      </c>
      <c r="J4" s="13">
        <v>5.8</v>
      </c>
      <c r="K4" s="13" t="str">
        <v>C</v>
      </c>
    </row>
    <row r="5" spans="1:11">
      <c r="A5" s="13">
        <v>4</v>
      </c>
      <c r="B5" s="13" t="str">
        <v>0B1509929</v>
      </c>
      <c r="C5" s="13" t="str">
        <v>Đặng Duy Linh</v>
      </c>
      <c r="D5" s="13">
        <v>0.4</v>
      </c>
      <c r="E5" s="13">
        <v>0.25</v>
      </c>
      <c r="F5" s="13">
        <v>0.35</v>
      </c>
      <c r="G5" s="13">
        <v>1</v>
      </c>
      <c r="H5" s="13">
        <v>4.5</v>
      </c>
      <c r="I5" s="13">
        <v>4.7</v>
      </c>
      <c r="J5" s="13">
        <v>5.7</v>
      </c>
      <c r="K5" s="13" t="str">
        <v>C</v>
      </c>
    </row>
    <row r="6" spans="1:11">
      <c r="A6" s="13">
        <v>5</v>
      </c>
      <c r="B6" s="13" t="str">
        <v>2B1605223</v>
      </c>
      <c r="C6" s="13" t="str">
        <v>Lê Thị Trúc Linh</v>
      </c>
      <c r="D6" s="13">
        <v>0.45</v>
      </c>
      <c r="E6" s="13">
        <v>0.4</v>
      </c>
      <c r="F6" s="13">
        <v>0.35</v>
      </c>
      <c r="G6" s="13">
        <v>0.75</v>
      </c>
      <c r="H6" s="13">
        <v>5.5</v>
      </c>
      <c r="I6" s="13">
        <v>5.3</v>
      </c>
      <c r="J6" s="13">
        <v>5.6</v>
      </c>
      <c r="K6" s="13" t="str">
        <v>C</v>
      </c>
    </row>
    <row r="7" spans="1:11">
      <c r="A7" s="13">
        <v>6</v>
      </c>
      <c r="B7" s="13" t="str">
        <v>0B1605235</v>
      </c>
      <c r="C7" s="13" t="str">
        <v>Phạm Thị Huỳnh Như</v>
      </c>
      <c r="D7" s="13">
        <v>0.4</v>
      </c>
      <c r="E7" s="13">
        <v>0.45</v>
      </c>
      <c r="F7" s="13">
        <v>0.5</v>
      </c>
      <c r="G7" s="13">
        <v>1.2</v>
      </c>
      <c r="H7" s="13">
        <v>7.5</v>
      </c>
      <c r="I7" s="13">
        <v>7.1</v>
      </c>
      <c r="J7" s="13">
        <v>8.1</v>
      </c>
      <c r="K7" s="13" t="str">
        <v>B+</v>
      </c>
    </row>
    <row r="8" spans="1:11">
      <c r="A8" s="13">
        <v>7</v>
      </c>
      <c r="B8" s="13" t="str">
        <v>0B1605249</v>
      </c>
      <c r="C8" s="13" t="str">
        <v>Lê Minh Thông</v>
      </c>
      <c r="D8" s="13">
        <v>0.4</v>
      </c>
      <c r="E8" s="13">
        <v>0.4</v>
      </c>
      <c r="F8" s="13">
        <v>0.4</v>
      </c>
      <c r="G8" s="13">
        <v>1</v>
      </c>
      <c r="H8" s="13">
        <v>5.3</v>
      </c>
      <c r="I8" s="13">
        <v>5.4</v>
      </c>
      <c r="J8" s="13">
        <v>6.4</v>
      </c>
      <c r="K8" s="13" t="str">
        <v>C</v>
      </c>
    </row>
    <row r="9" spans="1:11">
      <c r="A9" s="13">
        <v>8</v>
      </c>
      <c r="B9" s="13" t="str">
        <v>0B1605257</v>
      </c>
      <c r="C9" s="13" t="str">
        <v>Quách Thu Vân</v>
      </c>
      <c r="D9" s="13">
        <v>0.45</v>
      </c>
      <c r="E9" s="13">
        <v>0.4</v>
      </c>
      <c r="F9" s="13">
        <v>0.4</v>
      </c>
      <c r="G9" s="13">
        <v>1</v>
      </c>
      <c r="H9" s="13">
        <v>7.7</v>
      </c>
      <c r="I9" s="13">
        <v>6.9</v>
      </c>
      <c r="J9" s="13">
        <v>7.9</v>
      </c>
      <c r="K9" s="13" t="str">
        <v>B</v>
      </c>
    </row>
    <row r="10" spans="1:11">
      <c r="A10" s="13">
        <v>11</v>
      </c>
      <c r="B10" s="13" t="str">
        <v>0B1605291</v>
      </c>
      <c r="C10" s="13" t="str">
        <v>Trần Thị Thanh Nguyên</v>
      </c>
      <c r="D10" s="13">
        <v>0.45</v>
      </c>
      <c r="E10" s="13">
        <v>0.4</v>
      </c>
      <c r="F10" s="13">
        <v>0.4</v>
      </c>
      <c r="G10" s="13">
        <v>0.75</v>
      </c>
      <c r="H10" s="13">
        <v>6.3</v>
      </c>
      <c r="I10" s="13">
        <v>5.8</v>
      </c>
      <c r="J10" s="13">
        <v>6.8</v>
      </c>
      <c r="K10" s="13" t="str">
        <v>C+</v>
      </c>
    </row>
    <row r="11" spans="1:11">
      <c r="A11" s="13">
        <v>12</v>
      </c>
      <c r="B11" s="13" t="str">
        <v>1B1605344</v>
      </c>
      <c r="C11" s="13" t="str">
        <v>Nguyễn Thị Thúy Nga</v>
      </c>
      <c r="D11" s="13">
        <v>0.3</v>
      </c>
      <c r="E11" s="13">
        <v>0.5</v>
      </c>
      <c r="F11" s="13">
        <v>0.45</v>
      </c>
      <c r="G11" s="13">
        <v>0.3</v>
      </c>
      <c r="H11" s="13">
        <v>8.3000000000000007</v>
      </c>
      <c r="I11" s="13">
        <v>6.5</v>
      </c>
      <c r="J11" s="13">
        <v>7</v>
      </c>
      <c r="K11" s="13" t="str">
        <v>B</v>
      </c>
    </row>
    <row r="12" spans="1:11">
      <c r="A12" s="13">
        <v>13</v>
      </c>
      <c r="B12" s="13" t="str">
        <v>0B1606845</v>
      </c>
      <c r="C12" s="13" t="str">
        <v>Vũ Mạnh Thắng</v>
      </c>
      <c r="D12" s="13">
        <v>0.4</v>
      </c>
      <c r="E12" s="13">
        <v>0.5</v>
      </c>
      <c r="F12" s="13">
        <v>0.5</v>
      </c>
      <c r="G12" s="13">
        <v>1.2</v>
      </c>
      <c r="H12" s="13">
        <v>5.5</v>
      </c>
      <c r="I12" s="13">
        <v>5.9</v>
      </c>
      <c r="J12" s="13">
        <v>6.9</v>
      </c>
      <c r="K12" s="13" t="str">
        <v>C+</v>
      </c>
    </row>
    <row r="13" spans="1:11">
      <c r="A13" s="13">
        <v>14</v>
      </c>
      <c r="B13" s="13" t="str">
        <v>0B1607017</v>
      </c>
      <c r="C13" s="13" t="str">
        <v>Cao Ngọc Quyên</v>
      </c>
      <c r="D13" s="13">
        <v>0.5</v>
      </c>
      <c r="E13" s="13">
        <v>0.5</v>
      </c>
      <c r="F13" s="13">
        <v>0.45</v>
      </c>
      <c r="G13" s="13">
        <v>0.3</v>
      </c>
      <c r="H13" s="13">
        <v>6</v>
      </c>
      <c r="I13" s="13">
        <v>5.4</v>
      </c>
      <c r="J13" s="13">
        <v>6.4</v>
      </c>
      <c r="K13" s="13" t="str">
        <v>C</v>
      </c>
    </row>
    <row r="14" spans="1:11">
      <c r="A14" s="13">
        <v>16</v>
      </c>
      <c r="B14" s="13" t="str">
        <v>0B1609533</v>
      </c>
      <c r="C14" s="13" t="str">
        <v>Nguyễn Bích Ngân</v>
      </c>
      <c r="D14" s="13">
        <v>0.4</v>
      </c>
      <c r="E14" s="13">
        <v>0.45</v>
      </c>
      <c r="F14" s="13">
        <v>0.45</v>
      </c>
      <c r="G14" s="13">
        <v>1</v>
      </c>
      <c r="H14" s="13">
        <v>5.7</v>
      </c>
      <c r="I14" s="13">
        <v>5.7</v>
      </c>
      <c r="J14" s="13">
        <v>6.7</v>
      </c>
      <c r="K14" s="13" t="str">
        <v>C+</v>
      </c>
    </row>
    <row r="15" spans="1:11">
      <c r="A15" s="13">
        <v>17</v>
      </c>
      <c r="B15" s="13" t="str">
        <v>2B1609759</v>
      </c>
      <c r="C15" s="13" t="str">
        <v>Nguyễn Hải Anh</v>
      </c>
      <c r="D15" s="13">
        <v>0.5</v>
      </c>
      <c r="E15" s="13">
        <v>0.5</v>
      </c>
      <c r="F15" s="13">
        <v>0.45</v>
      </c>
      <c r="G15" s="13">
        <v>1.5</v>
      </c>
      <c r="H15" s="13">
        <v>7</v>
      </c>
      <c r="I15" s="13">
        <v>7.2</v>
      </c>
      <c r="J15" s="13">
        <v>7.5</v>
      </c>
      <c r="K15" s="13" t="str">
        <v>B</v>
      </c>
    </row>
    <row r="16" spans="1:11">
      <c r="A16" s="13">
        <v>18</v>
      </c>
      <c r="B16" s="13" t="str">
        <v>0B1609762</v>
      </c>
      <c r="C16" s="13" t="str">
        <v>Nguyễn Hoàng Châu</v>
      </c>
      <c r="D16" s="13">
        <v>0.4</v>
      </c>
      <c r="E16" s="13">
        <v>0.4</v>
      </c>
      <c r="F16" s="13">
        <v>0.4</v>
      </c>
      <c r="G16" s="13">
        <v>0.3</v>
      </c>
      <c r="H16" s="13">
        <v>6.5</v>
      </c>
      <c r="I16" s="13">
        <v>5.4</v>
      </c>
      <c r="J16" s="13">
        <v>6.4</v>
      </c>
      <c r="K16" s="13" t="str">
        <v>C</v>
      </c>
    </row>
    <row r="17" spans="1:11">
      <c r="A17" s="13">
        <v>20</v>
      </c>
      <c r="B17" s="13" t="str">
        <v>0B1609773</v>
      </c>
      <c r="C17" s="13" t="str">
        <v>Đào Nguyễn Duy Khanh</v>
      </c>
      <c r="D17" s="13">
        <v>0.35</v>
      </c>
      <c r="E17" s="13">
        <v>0.4</v>
      </c>
      <c r="F17" s="13">
        <v>0</v>
      </c>
      <c r="G17" s="13">
        <v>0.85</v>
      </c>
      <c r="H17" s="13">
        <v>6.5</v>
      </c>
      <c r="I17" s="13">
        <v>5.5</v>
      </c>
      <c r="J17" s="13">
        <v>6.5</v>
      </c>
      <c r="K17" s="13" t="str">
        <v>C+</v>
      </c>
    </row>
    <row r="18" spans="1:11">
      <c r="A18" s="13">
        <v>21</v>
      </c>
      <c r="B18" s="13" t="str">
        <v>0B1704708</v>
      </c>
      <c r="C18" s="13" t="str">
        <v>Ngô Hùng Vĩ</v>
      </c>
      <c r="D18" s="13">
        <v>0.5</v>
      </c>
      <c r="E18" s="13">
        <v>0.4</v>
      </c>
      <c r="F18" s="13">
        <v>0.45</v>
      </c>
      <c r="G18" s="13">
        <v>1.35</v>
      </c>
      <c r="H18" s="13">
        <v>6.7</v>
      </c>
      <c r="I18" s="13">
        <v>6.7</v>
      </c>
      <c r="J18" s="13">
        <v>7.7</v>
      </c>
      <c r="K18" s="13" t="str">
        <v>B</v>
      </c>
    </row>
    <row r="19" spans="1:11">
      <c r="A19" s="13">
        <v>23</v>
      </c>
      <c r="B19" s="13" t="str">
        <v>0B1706555</v>
      </c>
      <c r="C19" s="13" t="str">
        <v>Lê Hồng Quốc Vương</v>
      </c>
      <c r="D19" s="13">
        <v>0.5</v>
      </c>
      <c r="E19" s="13">
        <v>0.5</v>
      </c>
      <c r="F19" s="13">
        <v>0.5</v>
      </c>
      <c r="G19" s="13">
        <v>1.5</v>
      </c>
      <c r="H19" s="13">
        <v>7.5</v>
      </c>
      <c r="I19" s="13">
        <v>7.5</v>
      </c>
      <c r="J19" s="13">
        <v>8.5</v>
      </c>
      <c r="K19" s="13" t="str">
        <v>B+</v>
      </c>
    </row>
    <row r="20" spans="1:11">
      <c r="A20" s="13">
        <v>24</v>
      </c>
      <c r="B20" s="13" t="str">
        <v>2B1706560</v>
      </c>
      <c r="C20" s="13" t="str">
        <v>Huỳnh Hoàng Ẩn</v>
      </c>
      <c r="D20" s="13">
        <v>0.45</v>
      </c>
      <c r="E20" s="13">
        <v>0.3</v>
      </c>
      <c r="F20" s="13">
        <v>0.45</v>
      </c>
      <c r="G20" s="13">
        <v>1.2</v>
      </c>
      <c r="H20" s="13">
        <v>8.8000000000000007</v>
      </c>
      <c r="I20" s="13">
        <v>7.7</v>
      </c>
      <c r="J20" s="13">
        <v>8</v>
      </c>
      <c r="K20" s="13" t="str">
        <v>B+</v>
      </c>
    </row>
    <row r="21" spans="1:11">
      <c r="A21" s="13">
        <v>25</v>
      </c>
      <c r="B21" s="13" t="str">
        <v>1B1706589</v>
      </c>
      <c r="C21" s="13" t="str">
        <v>Hồ Thị Mỷ Huyền</v>
      </c>
      <c r="D21" s="13">
        <v>0.3</v>
      </c>
      <c r="E21" s="13">
        <v>0.3</v>
      </c>
      <c r="F21" s="13">
        <v>0.4</v>
      </c>
      <c r="G21" s="13">
        <v>0.75</v>
      </c>
      <c r="H21" s="13">
        <v>6.8</v>
      </c>
      <c r="I21" s="13">
        <v>5.8</v>
      </c>
      <c r="J21" s="13">
        <v>6.3</v>
      </c>
      <c r="K21" s="13" t="str">
        <v>C</v>
      </c>
    </row>
    <row r="22" spans="1:11">
      <c r="A22" s="13">
        <v>26</v>
      </c>
      <c r="B22" s="13" t="str">
        <v>0B1706597</v>
      </c>
      <c r="C22" s="13" t="str">
        <v>Đặng Trung Kiên</v>
      </c>
      <c r="D22" s="13">
        <v>0.5</v>
      </c>
      <c r="E22" s="13">
        <v>0.3</v>
      </c>
      <c r="F22" s="13">
        <v>0.45</v>
      </c>
      <c r="G22" s="13">
        <v>1</v>
      </c>
      <c r="H22" s="13">
        <v>7.8</v>
      </c>
      <c r="I22" s="13">
        <v>6.9</v>
      </c>
      <c r="J22" s="13">
        <v>7.9</v>
      </c>
      <c r="K22" s="13" t="str">
        <v>B</v>
      </c>
    </row>
    <row r="23" spans="1:11">
      <c r="A23" s="13">
        <v>27</v>
      </c>
      <c r="B23" s="13" t="str">
        <v>0B1706606</v>
      </c>
      <c r="C23" s="13" t="str">
        <v>Ngụy Hữu Lộc</v>
      </c>
      <c r="D23" s="13">
        <v>0.5</v>
      </c>
      <c r="E23" s="13">
        <v>0.4</v>
      </c>
      <c r="F23" s="13">
        <v>0.45</v>
      </c>
      <c r="G23" s="13">
        <v>1.5</v>
      </c>
      <c r="H23" s="13">
        <v>8.8000000000000007</v>
      </c>
      <c r="I23" s="13">
        <v>8.1</v>
      </c>
      <c r="J23" s="13">
        <v>9.1</v>
      </c>
      <c r="K23" s="13" t="str">
        <v>B+</v>
      </c>
    </row>
    <row r="24" spans="1:11">
      <c r="A24" s="13">
        <v>28</v>
      </c>
      <c r="B24" s="13" t="str">
        <v>0B1706610</v>
      </c>
      <c r="C24" s="13" t="str">
        <v>Nguyễn Trà Mi</v>
      </c>
      <c r="D24" s="13">
        <v>0.5</v>
      </c>
      <c r="E24" s="13">
        <v>0.45</v>
      </c>
      <c r="F24" s="13">
        <v>0.45</v>
      </c>
      <c r="G24" s="13">
        <v>1</v>
      </c>
      <c r="H24" s="13">
        <v>7.8</v>
      </c>
      <c r="I24" s="13">
        <v>7.1</v>
      </c>
      <c r="J24" s="13">
        <v>8.1</v>
      </c>
      <c r="K24" s="13" t="str">
        <v>B+</v>
      </c>
    </row>
    <row r="25" spans="1:11">
      <c r="A25" s="13">
        <v>31</v>
      </c>
      <c r="B25" s="13" t="str">
        <v>0B1706633</v>
      </c>
      <c r="C25" s="13" t="str">
        <v>Trần Thị Hoàng Quyên</v>
      </c>
      <c r="D25" s="13">
        <v>0.4</v>
      </c>
      <c r="E25" s="13">
        <v>0.5</v>
      </c>
      <c r="F25" s="13">
        <v>0.5</v>
      </c>
      <c r="G25" s="13">
        <v>1</v>
      </c>
      <c r="H25" s="13">
        <v>9.1999999999999993</v>
      </c>
      <c r="I25" s="13">
        <v>7.9</v>
      </c>
      <c r="J25" s="13">
        <v>8.9</v>
      </c>
      <c r="K25" s="13" t="str">
        <v>B+</v>
      </c>
    </row>
    <row r="26" spans="1:11">
      <c r="A26" s="13">
        <v>32</v>
      </c>
      <c r="B26" s="13" t="str">
        <v>0B1706641</v>
      </c>
      <c r="C26" s="13" t="str">
        <v>Trương Quốc Thái</v>
      </c>
      <c r="D26" s="13">
        <v>0.4</v>
      </c>
      <c r="E26" s="13">
        <v>0.4</v>
      </c>
      <c r="F26" s="13">
        <v>0.45</v>
      </c>
      <c r="G26" s="13">
        <v>1</v>
      </c>
      <c r="H26" s="13">
        <v>7.5</v>
      </c>
      <c r="I26" s="13">
        <v>6.8</v>
      </c>
      <c r="J26" s="13">
        <v>7.8</v>
      </c>
      <c r="K26" s="13" t="str">
        <v>B</v>
      </c>
    </row>
    <row r="27" spans="1:11">
      <c r="A27" s="13">
        <v>34</v>
      </c>
      <c r="B27" s="13" t="str">
        <v>1B1706655</v>
      </c>
      <c r="C27" s="13" t="str">
        <v>Nguyễn Chí Tôn</v>
      </c>
      <c r="D27" s="13">
        <v>0.4</v>
      </c>
      <c r="E27" s="13">
        <v>0</v>
      </c>
      <c r="F27" s="13">
        <v>0.45</v>
      </c>
      <c r="G27" s="13">
        <v>0.75</v>
      </c>
      <c r="H27" s="13">
        <v>8.3000000000000007</v>
      </c>
      <c r="I27" s="13">
        <v>6.6</v>
      </c>
      <c r="J27" s="13">
        <v>7.1</v>
      </c>
      <c r="K27" s="13" t="str">
        <v>B</v>
      </c>
    </row>
    <row r="28" spans="1:11">
      <c r="A28" s="13">
        <v>36</v>
      </c>
      <c r="B28" s="13" t="str">
        <v>1B1706877</v>
      </c>
      <c r="C28" s="13" t="str">
        <v>Nguyễn Anh Thư</v>
      </c>
      <c r="D28" s="13">
        <v>0.5</v>
      </c>
      <c r="E28" s="13">
        <v>0.35</v>
      </c>
      <c r="F28" s="13">
        <v>0.45</v>
      </c>
      <c r="G28" s="13">
        <v>0.5</v>
      </c>
      <c r="H28" s="13">
        <v>5.5</v>
      </c>
      <c r="I28" s="13">
        <v>5.0999999999999996</v>
      </c>
      <c r="J28" s="13">
        <v>5.6</v>
      </c>
      <c r="K28" s="13" t="str">
        <v>C</v>
      </c>
    </row>
    <row r="29" spans="1:11">
      <c r="A29" s="13">
        <v>37</v>
      </c>
      <c r="B29" s="13" t="str">
        <v>0B1706892</v>
      </c>
      <c r="C29" s="13" t="str">
        <v>Huỳnh Lê Tỷ</v>
      </c>
      <c r="D29" s="13">
        <v>0.5</v>
      </c>
      <c r="E29" s="13">
        <v>0.4</v>
      </c>
      <c r="F29" s="13">
        <v>0.4</v>
      </c>
      <c r="G29" s="13">
        <v>0.3</v>
      </c>
      <c r="H29" s="13">
        <v>6.7</v>
      </c>
      <c r="I29" s="13">
        <v>5.6</v>
      </c>
      <c r="J29" s="13">
        <v>6.6</v>
      </c>
      <c r="K29" s="13" t="str">
        <v>C+</v>
      </c>
    </row>
    <row r="30" spans="1:11">
      <c r="A30" s="13">
        <v>38</v>
      </c>
      <c r="B30" s="13" t="str">
        <v>0B1709289</v>
      </c>
      <c r="C30" s="13" t="str">
        <v>Nguyễn Ngọc Luyến</v>
      </c>
      <c r="D30" s="13">
        <v>0.3</v>
      </c>
      <c r="E30" s="13">
        <v>0.4</v>
      </c>
      <c r="F30" s="13">
        <v>0.45</v>
      </c>
      <c r="G30" s="13">
        <v>1</v>
      </c>
      <c r="H30" s="13">
        <v>5.5</v>
      </c>
      <c r="I30" s="13">
        <v>5.5</v>
      </c>
      <c r="J30" s="13">
        <v>6.5</v>
      </c>
      <c r="K30" s="13" t="str">
        <v>C+</v>
      </c>
    </row>
    <row r="31" spans="1:11">
      <c r="A31" s="13">
        <v>39</v>
      </c>
      <c r="B31" s="13" t="str">
        <v>1B1709313</v>
      </c>
      <c r="C31" s="13" t="str">
        <v>Võ Thị Thùy Trang</v>
      </c>
      <c r="D31" s="13">
        <v>0.4</v>
      </c>
      <c r="E31" s="13">
        <v>0.4</v>
      </c>
      <c r="F31" s="13">
        <v>0.4</v>
      </c>
      <c r="G31" s="13">
        <v>0.75</v>
      </c>
      <c r="H31" s="13">
        <v>3.2</v>
      </c>
      <c r="I31" s="13">
        <v>3.9</v>
      </c>
      <c r="J31" s="13">
        <v>4.4000000000000004</v>
      </c>
      <c r="K31" s="13" t="str">
        <v>D</v>
      </c>
    </row>
  </sheetData>
  <hyperlinks>
    <hyperlink ref="E1" r:id="rId1" display="TH@" xr:uid="{AFA61065-39D3-4190-8438-4F985270E0C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33C0-DA7F-47E1-9597-FCB1D9655FA4}">
  <dimension ref="A1:K45"/>
  <sheetViews>
    <sheetView tabSelected="1" zoomScale="85" zoomScaleNormal="85" workbookViewId="0">
      <selection activeCell="O17" sqref="O17"/>
    </sheetView>
  </sheetViews>
  <sheetFormatPr defaultRowHeight="14.4"/>
  <cols>
    <col min="1" max="2" width="16.33203125" customWidth="1"/>
    <col min="3" max="3" width="23.33203125" customWidth="1"/>
    <col min="4" max="9" width="11.33203125" customWidth="1"/>
    <col min="10" max="10" width="15" customWidth="1"/>
    <col min="11" max="11" width="11.33203125" customWidth="1"/>
  </cols>
  <sheetData>
    <row r="1" spans="1:11" ht="19.2" customHeight="1">
      <c r="A1" s="16"/>
      <c r="B1" s="61" t="s">
        <v>171</v>
      </c>
      <c r="C1" s="61"/>
      <c r="D1" s="61"/>
      <c r="E1" s="61"/>
      <c r="F1" s="61"/>
      <c r="G1" s="61"/>
      <c r="H1" s="61"/>
      <c r="I1" s="16"/>
      <c r="J1" s="16"/>
      <c r="K1" s="16"/>
    </row>
    <row r="2" spans="1:11" ht="19.2" customHeight="1">
      <c r="A2" s="16"/>
      <c r="B2" s="16" t="s">
        <v>0</v>
      </c>
      <c r="C2" s="16">
        <v>1043</v>
      </c>
      <c r="D2" s="34" t="s">
        <v>1</v>
      </c>
      <c r="E2" s="34"/>
      <c r="F2" s="34" t="s">
        <v>2</v>
      </c>
      <c r="G2" s="34"/>
      <c r="H2" s="34"/>
      <c r="I2" s="16"/>
      <c r="J2" s="16"/>
      <c r="K2" s="16"/>
    </row>
    <row r="3" spans="1:11" ht="19.2" customHeight="1">
      <c r="A3" s="16"/>
      <c r="B3" s="16" t="s">
        <v>3</v>
      </c>
      <c r="C3" s="16" t="s">
        <v>172</v>
      </c>
      <c r="D3" s="34" t="s">
        <v>4</v>
      </c>
      <c r="E3" s="34"/>
      <c r="F3" s="34">
        <v>8</v>
      </c>
      <c r="G3" s="34"/>
      <c r="H3" s="34"/>
      <c r="I3" s="16"/>
      <c r="J3" s="16"/>
      <c r="K3" s="16"/>
    </row>
    <row r="4" spans="1:11" ht="19.2" customHeight="1">
      <c r="A4" s="16"/>
      <c r="B4" s="16" t="s">
        <v>5</v>
      </c>
      <c r="C4" s="16" t="s">
        <v>173</v>
      </c>
      <c r="D4" s="34" t="s">
        <v>6</v>
      </c>
      <c r="E4" s="34"/>
      <c r="F4" s="34">
        <v>1</v>
      </c>
      <c r="G4" s="34"/>
      <c r="H4" s="34"/>
      <c r="I4" s="16"/>
      <c r="J4" s="16"/>
      <c r="K4" s="16"/>
    </row>
    <row r="5" spans="1:11" ht="15.6" customHeight="1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</row>
    <row r="6" spans="1:11" ht="31.2" customHeight="1">
      <c r="A6" s="62" t="s">
        <v>7</v>
      </c>
      <c r="B6" s="62" t="s">
        <v>8</v>
      </c>
      <c r="C6" s="62" t="s">
        <v>9</v>
      </c>
      <c r="D6" s="62" t="s">
        <v>10</v>
      </c>
      <c r="E6" s="62" t="s">
        <v>11</v>
      </c>
      <c r="F6" s="62" t="s">
        <v>12</v>
      </c>
      <c r="G6" s="62" t="s">
        <v>13</v>
      </c>
      <c r="H6" s="62" t="s">
        <v>14</v>
      </c>
      <c r="I6" s="62" t="s">
        <v>15</v>
      </c>
      <c r="J6" s="62" t="s">
        <v>16</v>
      </c>
      <c r="K6" s="62" t="s">
        <v>17</v>
      </c>
    </row>
    <row r="7" spans="1:11" ht="19.2" customHeight="1">
      <c r="A7" s="33">
        <v>1</v>
      </c>
      <c r="B7" s="16" t="s">
        <v>18</v>
      </c>
      <c r="C7" s="64" t="str">
        <f>VLOOKUP(RIGHT(B7,8), 'Các bảng tham chiếu &amp; Thống kê'!$B$14:$C$52, 2, FALSE)</f>
        <v>Nguyễn Phước Hiếu</v>
      </c>
      <c r="D7" s="16">
        <f>VLOOKUP(RIGHT(B7,8),'Điểm thực hành các buổi '!$B$2:$F$41,3,FALSE)</f>
        <v>0.45</v>
      </c>
      <c r="E7" s="16">
        <f>VLOOKUP(RIGHT(B7,8),'Điểm thực hành các buổi '!$B$2:$E$41,4,FALSE)</f>
        <v>0.25</v>
      </c>
      <c r="F7" s="16">
        <f>VLOOKUP(RIGHT(B7,8),'Điểm thực hành các buổi '!$B$2:$F$41,5,FALSE)</f>
        <v>0.3</v>
      </c>
      <c r="G7" s="16">
        <f>VLOOKUP(RIGHT(B7,8),'Điểm bài tập lớn'!$B$2:$D$41,3,FALSE)</f>
        <v>0.5</v>
      </c>
      <c r="H7" s="16">
        <f>VLOOKUP(RIGHT(B7,8),'Điểm lý thuyết'!$B$2:$D$41,3,FALSE)</f>
        <v>4.2</v>
      </c>
      <c r="I7" s="16">
        <f>ROUND(IF(H7=-3,0,D7+E7+F7+G7+H7*0.6),1)</f>
        <v>4</v>
      </c>
      <c r="J7" s="16">
        <f>ROUND(IF(OR(G7=0,VALUE(LEFT(B7,1))&gt;2),0,I7+VLOOKUP(VALUE(LEFT(B7,1)),'Các bảng tham chiếu &amp; Thống kê'!$E$3:$F$5,2,0)),1)</f>
        <v>5</v>
      </c>
      <c r="K7" s="63" t="str">
        <f>IF(J7=9,"A",
IF(J7&gt;=8,"B+",
IF(J7&gt;=7,"B",
IF(J7&gt;=6.5,"C+",
IF(J7&gt;=5.5,"C",
IF(J7&gt;=5,"D+",
IF(J7&gt;=4,"D","F")))))))</f>
        <v>D+</v>
      </c>
    </row>
    <row r="8" spans="1:11" ht="19.2" customHeight="1">
      <c r="A8" s="33">
        <v>2</v>
      </c>
      <c r="B8" s="16" t="s">
        <v>19</v>
      </c>
      <c r="C8" s="64" t="str">
        <f>VLOOKUP(RIGHT(B8,8), 'Các bảng tham chiếu &amp; Thống kê'!$B$14:$C$52, 2, FALSE)</f>
        <v>Lý Minh Trí</v>
      </c>
      <c r="D8" s="16">
        <f>VLOOKUP(RIGHT(B8,8),'Điểm thực hành các buổi '!$B$2:$F$41,3,FALSE)</f>
        <v>0.5</v>
      </c>
      <c r="E8" s="16">
        <f>VLOOKUP(RIGHT(B8,8),'Điểm thực hành các buổi '!$B$2:$E$41,4,FALSE)</f>
        <v>0.35</v>
      </c>
      <c r="F8" s="16">
        <f>VLOOKUP(RIGHT(B8,8),'Điểm thực hành các buổi '!$B$2:$F$41,5,FALSE)</f>
        <v>0.4</v>
      </c>
      <c r="G8" s="16">
        <f>VLOOKUP(RIGHT(B8,8),'Điểm bài tập lớn'!$B$2:$D$41,3,FALSE)</f>
        <v>1</v>
      </c>
      <c r="H8" s="16">
        <f>VLOOKUP(RIGHT(B8,8),'Điểm lý thuyết'!$B$2:$D$41,3,FALSE)</f>
        <v>5.8</v>
      </c>
      <c r="I8" s="16">
        <f t="shared" ref="I8:I45" si="0">ROUND(IF(H8=-3,0,D8+E8+F8+G8+H8*0.6),1)</f>
        <v>5.7</v>
      </c>
      <c r="J8" s="16">
        <f>ROUND(IF(OR(G8=0,VALUE(LEFT(B8,1))&gt;2),0,I8+VLOOKUP(VALUE(LEFT(B8,1)),'Các bảng tham chiếu &amp; Thống kê'!$E$3:$F$5,2,0)),1)</f>
        <v>6.2</v>
      </c>
      <c r="K8" s="63" t="str">
        <f t="shared" ref="K8:K45" si="1">IF(J8=9,"A",
IF(J8&gt;=8,"B+",
IF(J8&gt;=7,"B",
IF(J8&gt;=6.5,"C+",
IF(J8&gt;=5.5,"C",
IF(J8&gt;=5,"D+",
IF(J8&gt;=4,"D","F")))))))</f>
        <v>C</v>
      </c>
    </row>
    <row r="9" spans="1:11" ht="19.2" customHeight="1">
      <c r="A9" s="33">
        <v>3</v>
      </c>
      <c r="B9" s="16" t="s">
        <v>20</v>
      </c>
      <c r="C9" s="64" t="str">
        <f>VLOOKUP(RIGHT(B9,8), 'Các bảng tham chiếu &amp; Thống kê'!$B$14:$C$52, 2, FALSE)</f>
        <v>Nguyễn Kiều Mi</v>
      </c>
      <c r="D9" s="16">
        <f>VLOOKUP(RIGHT(B9,8),'Điểm thực hành các buổi '!$B$2:$F$41,3,FALSE)</f>
        <v>0.25</v>
      </c>
      <c r="E9" s="16">
        <f>VLOOKUP(RIGHT(B9,8),'Điểm thực hành các buổi '!$B$2:$E$41,4,FALSE)</f>
        <v>0.25</v>
      </c>
      <c r="F9" s="16">
        <f>VLOOKUP(RIGHT(B9,8),'Điểm thực hành các buổi '!$B$2:$F$41,5,FALSE)</f>
        <v>0.3</v>
      </c>
      <c r="G9" s="16">
        <f>VLOOKUP(RIGHT(B9,8),'Điểm bài tập lớn'!$B$2:$D$41,3,FALSE)</f>
        <v>0.5</v>
      </c>
      <c r="H9" s="16">
        <f>VLOOKUP(RIGHT(B9,8),'Điểm lý thuyết'!$B$2:$D$41,3,FALSE)</f>
        <v>5.8</v>
      </c>
      <c r="I9" s="16">
        <f t="shared" si="0"/>
        <v>4.8</v>
      </c>
      <c r="J9" s="16">
        <f>ROUND(IF(OR(G9=0,VALUE(LEFT(B9,1))&gt;2),0,I9+VLOOKUP(VALUE(LEFT(B9,1)),'Các bảng tham chiếu &amp; Thống kê'!$E$3:$F$5,2,0)),1)</f>
        <v>5.8</v>
      </c>
      <c r="K9" s="63" t="str">
        <f t="shared" si="1"/>
        <v>C</v>
      </c>
    </row>
    <row r="10" spans="1:11" ht="19.2" customHeight="1">
      <c r="A10" s="33">
        <v>4</v>
      </c>
      <c r="B10" s="16" t="s">
        <v>21</v>
      </c>
      <c r="C10" s="64" t="str">
        <f>VLOOKUP(RIGHT(B10,8), 'Các bảng tham chiếu &amp; Thống kê'!$B$14:$C$52, 2, FALSE)</f>
        <v>Đặng Duy Linh</v>
      </c>
      <c r="D10" s="16">
        <f>VLOOKUP(RIGHT(B10,8),'Điểm thực hành các buổi '!$B$2:$F$41,3,FALSE)</f>
        <v>0.4</v>
      </c>
      <c r="E10" s="16">
        <f>VLOOKUP(RIGHT(B10,8),'Điểm thực hành các buổi '!$B$2:$E$41,4,FALSE)</f>
        <v>0.25</v>
      </c>
      <c r="F10" s="16">
        <f>VLOOKUP(RIGHT(B10,8),'Điểm thực hành các buổi '!$B$2:$F$41,5,FALSE)</f>
        <v>0.35</v>
      </c>
      <c r="G10" s="16">
        <f>VLOOKUP(RIGHT(B10,8),'Điểm bài tập lớn'!$B$2:$D$41,3,FALSE)</f>
        <v>1</v>
      </c>
      <c r="H10" s="16">
        <f>VLOOKUP(RIGHT(B10,8),'Điểm lý thuyết'!$B$2:$D$41,3,FALSE)</f>
        <v>4.5</v>
      </c>
      <c r="I10" s="16">
        <f t="shared" si="0"/>
        <v>4.7</v>
      </c>
      <c r="J10" s="16">
        <f>ROUND(IF(OR(G10=0,VALUE(LEFT(B10,1))&gt;2),0,I10+VLOOKUP(VALUE(LEFT(B10,1)),'Các bảng tham chiếu &amp; Thống kê'!$E$3:$F$5,2,0)),1)</f>
        <v>5.7</v>
      </c>
      <c r="K10" s="63" t="str">
        <f t="shared" si="1"/>
        <v>C</v>
      </c>
    </row>
    <row r="11" spans="1:11" ht="19.2" customHeight="1">
      <c r="A11" s="33">
        <v>5</v>
      </c>
      <c r="B11" s="16" t="s">
        <v>22</v>
      </c>
      <c r="C11" s="64" t="str">
        <f>VLOOKUP(RIGHT(B11,8), 'Các bảng tham chiếu &amp; Thống kê'!$B$14:$C$52, 2, FALSE)</f>
        <v>Lê Thị Trúc Linh</v>
      </c>
      <c r="D11" s="16">
        <f>VLOOKUP(RIGHT(B11,8),'Điểm thực hành các buổi '!$B$2:$F$41,3,FALSE)</f>
        <v>0.45</v>
      </c>
      <c r="E11" s="16">
        <f>VLOOKUP(RIGHT(B11,8),'Điểm thực hành các buổi '!$B$2:$E$41,4,FALSE)</f>
        <v>0.4</v>
      </c>
      <c r="F11" s="16">
        <f>VLOOKUP(RIGHT(B11,8),'Điểm thực hành các buổi '!$B$2:$F$41,5,FALSE)</f>
        <v>0.35</v>
      </c>
      <c r="G11" s="16">
        <f>VLOOKUP(RIGHT(B11,8),'Điểm bài tập lớn'!$B$2:$D$41,3,FALSE)</f>
        <v>0.75</v>
      </c>
      <c r="H11" s="16">
        <f>VLOOKUP(RIGHT(B11,8),'Điểm lý thuyết'!$B$2:$D$41,3,FALSE)</f>
        <v>5.5</v>
      </c>
      <c r="I11" s="16">
        <f t="shared" si="0"/>
        <v>5.3</v>
      </c>
      <c r="J11" s="16">
        <f>ROUND(IF(OR(G11=0,VALUE(LEFT(B11,1))&gt;2),0,I11+VLOOKUP(VALUE(LEFT(B11,1)),'Các bảng tham chiếu &amp; Thống kê'!$E$3:$F$5,2,0)),1)</f>
        <v>5.6</v>
      </c>
      <c r="K11" s="63" t="str">
        <f t="shared" si="1"/>
        <v>C</v>
      </c>
    </row>
    <row r="12" spans="1:11" ht="19.2" customHeight="1">
      <c r="A12" s="33">
        <v>6</v>
      </c>
      <c r="B12" s="16" t="s">
        <v>23</v>
      </c>
      <c r="C12" s="64" t="str">
        <f>VLOOKUP(RIGHT(B12,8), 'Các bảng tham chiếu &amp; Thống kê'!$B$14:$C$52, 2, FALSE)</f>
        <v>Phạm Thị Huỳnh Như</v>
      </c>
      <c r="D12" s="16">
        <f>VLOOKUP(RIGHT(B12,8),'Điểm thực hành các buổi '!$B$2:$F$41,3,FALSE)</f>
        <v>0.4</v>
      </c>
      <c r="E12" s="16">
        <f>VLOOKUP(RIGHT(B12,8),'Điểm thực hành các buổi '!$B$2:$E$41,4,FALSE)</f>
        <v>0.45</v>
      </c>
      <c r="F12" s="16">
        <f>VLOOKUP(RIGHT(B12,8),'Điểm thực hành các buổi '!$B$2:$F$41,5,FALSE)</f>
        <v>0.5</v>
      </c>
      <c r="G12" s="16">
        <f>VLOOKUP(RIGHT(B12,8),'Điểm bài tập lớn'!$B$2:$D$41,3,FALSE)</f>
        <v>1.2</v>
      </c>
      <c r="H12" s="16">
        <f>VLOOKUP(RIGHT(B12,8),'Điểm lý thuyết'!$B$2:$D$41,3,FALSE)</f>
        <v>7.5</v>
      </c>
      <c r="I12" s="16">
        <f t="shared" si="0"/>
        <v>7.1</v>
      </c>
      <c r="J12" s="16">
        <f>ROUND(IF(OR(G12=0,VALUE(LEFT(B12,1))&gt;2),0,I12+VLOOKUP(VALUE(LEFT(B12,1)),'Các bảng tham chiếu &amp; Thống kê'!$E$3:$F$5,2,0)),1)</f>
        <v>8.1</v>
      </c>
      <c r="K12" s="63" t="str">
        <f t="shared" si="1"/>
        <v>B+</v>
      </c>
    </row>
    <row r="13" spans="1:11" ht="19.2" customHeight="1">
      <c r="A13" s="33">
        <v>7</v>
      </c>
      <c r="B13" s="16" t="s">
        <v>24</v>
      </c>
      <c r="C13" s="64" t="str">
        <f>VLOOKUP(RIGHT(B13,8), 'Các bảng tham chiếu &amp; Thống kê'!$B$14:$C$52, 2, FALSE)</f>
        <v>Lê Minh Thông</v>
      </c>
      <c r="D13" s="16">
        <f>VLOOKUP(RIGHT(B13,8),'Điểm thực hành các buổi '!$B$2:$F$41,3,FALSE)</f>
        <v>0.4</v>
      </c>
      <c r="E13" s="16">
        <f>VLOOKUP(RIGHT(B13,8),'Điểm thực hành các buổi '!$B$2:$E$41,4,FALSE)</f>
        <v>0.4</v>
      </c>
      <c r="F13" s="16">
        <f>VLOOKUP(RIGHT(B13,8),'Điểm thực hành các buổi '!$B$2:$F$41,5,FALSE)</f>
        <v>0.4</v>
      </c>
      <c r="G13" s="16">
        <f>VLOOKUP(RIGHT(B13,8),'Điểm bài tập lớn'!$B$2:$D$41,3,FALSE)</f>
        <v>1</v>
      </c>
      <c r="H13" s="16">
        <f>VLOOKUP(RIGHT(B13,8),'Điểm lý thuyết'!$B$2:$D$41,3,FALSE)</f>
        <v>5.3</v>
      </c>
      <c r="I13" s="16">
        <f t="shared" si="0"/>
        <v>5.4</v>
      </c>
      <c r="J13" s="16">
        <f>ROUND(IF(OR(G13=0,VALUE(LEFT(B13,1))&gt;2),0,I13+VLOOKUP(VALUE(LEFT(B13,1)),'Các bảng tham chiếu &amp; Thống kê'!$E$3:$F$5,2,0)),1)</f>
        <v>6.4</v>
      </c>
      <c r="K13" s="63" t="str">
        <f t="shared" si="1"/>
        <v>C</v>
      </c>
    </row>
    <row r="14" spans="1:11" ht="19.2" customHeight="1">
      <c r="A14" s="33">
        <v>8</v>
      </c>
      <c r="B14" s="16" t="s">
        <v>25</v>
      </c>
      <c r="C14" s="64" t="str">
        <f>VLOOKUP(RIGHT(B14,8), 'Các bảng tham chiếu &amp; Thống kê'!$B$14:$C$52, 2, FALSE)</f>
        <v>Quách Thu Vân</v>
      </c>
      <c r="D14" s="16">
        <f>VLOOKUP(RIGHT(B14,8),'Điểm thực hành các buổi '!$B$2:$F$41,3,FALSE)</f>
        <v>0.45</v>
      </c>
      <c r="E14" s="16">
        <f>VLOOKUP(RIGHT(B14,8),'Điểm thực hành các buổi '!$B$2:$E$41,4,FALSE)</f>
        <v>0.4</v>
      </c>
      <c r="F14" s="16">
        <f>VLOOKUP(RIGHT(B14,8),'Điểm thực hành các buổi '!$B$2:$F$41,5,FALSE)</f>
        <v>0.4</v>
      </c>
      <c r="G14" s="16">
        <f>VLOOKUP(RIGHT(B14,8),'Điểm bài tập lớn'!$B$2:$D$41,3,FALSE)</f>
        <v>1</v>
      </c>
      <c r="H14" s="16">
        <f>VLOOKUP(RIGHT(B14,8),'Điểm lý thuyết'!$B$2:$D$41,3,FALSE)</f>
        <v>7.7</v>
      </c>
      <c r="I14" s="16">
        <f t="shared" si="0"/>
        <v>6.9</v>
      </c>
      <c r="J14" s="16">
        <f>ROUND(IF(OR(G14=0,VALUE(LEFT(B14,1))&gt;2),0,I14+VLOOKUP(VALUE(LEFT(B14,1)),'Các bảng tham chiếu &amp; Thống kê'!$E$3:$F$5,2,0)),1)</f>
        <v>7.9</v>
      </c>
      <c r="K14" s="63" t="str">
        <f t="shared" si="1"/>
        <v>B</v>
      </c>
    </row>
    <row r="15" spans="1:11" ht="19.2" customHeight="1">
      <c r="A15" s="33">
        <v>9</v>
      </c>
      <c r="B15" s="16" t="s">
        <v>26</v>
      </c>
      <c r="C15" s="64" t="str">
        <f>VLOOKUP(RIGHT(B15,8), 'Các bảng tham chiếu &amp; Thống kê'!$B$14:$C$52, 2, FALSE)</f>
        <v>Trần Thị Kim Khoa</v>
      </c>
      <c r="D15" s="16">
        <f>VLOOKUP(RIGHT(B15,8),'Điểm thực hành các buổi '!$B$2:$F$41,3,FALSE)</f>
        <v>0.5</v>
      </c>
      <c r="E15" s="16">
        <f>VLOOKUP(RIGHT(B15,8),'Điểm thực hành các buổi '!$B$2:$E$41,4,FALSE)</f>
        <v>0.4</v>
      </c>
      <c r="F15" s="16">
        <f>VLOOKUP(RIGHT(B15,8),'Điểm thực hành các buổi '!$B$2:$F$41,5,FALSE)</f>
        <v>0.4</v>
      </c>
      <c r="G15" s="16">
        <f>VLOOKUP(RIGHT(B15,8),'Điểm bài tập lớn'!$B$2:$D$41,3,FALSE)</f>
        <v>1</v>
      </c>
      <c r="H15" s="16">
        <f>VLOOKUP(RIGHT(B15,8),'Điểm lý thuyết'!$B$2:$D$41,3,FALSE)</f>
        <v>-3</v>
      </c>
      <c r="I15" s="16">
        <f t="shared" si="0"/>
        <v>0</v>
      </c>
      <c r="J15" s="16">
        <f>ROUND(IF(OR(G15=0,VALUE(LEFT(B15,1))&gt;2),0,I15+VLOOKUP(VALUE(LEFT(B15,1)),'Các bảng tham chiếu &amp; Thống kê'!$E$3:$F$5,2,0)),1)</f>
        <v>0</v>
      </c>
      <c r="K15" s="63" t="str">
        <f t="shared" si="1"/>
        <v>F</v>
      </c>
    </row>
    <row r="16" spans="1:11" ht="19.2" customHeight="1">
      <c r="A16" s="33">
        <v>10</v>
      </c>
      <c r="B16" s="16" t="s">
        <v>27</v>
      </c>
      <c r="C16" s="64" t="str">
        <f>VLOOKUP(RIGHT(B16,8), 'Các bảng tham chiếu &amp; Thống kê'!$B$14:$C$52, 2, FALSE)</f>
        <v>Huỳnh Thị Hồng Loan</v>
      </c>
      <c r="D16" s="16">
        <f>VLOOKUP(RIGHT(B16,8),'Điểm thực hành các buổi '!$B$2:$F$41,3,FALSE)</f>
        <v>0.45</v>
      </c>
      <c r="E16" s="16">
        <f>VLOOKUP(RIGHT(B16,8),'Điểm thực hành các buổi '!$B$2:$E$41,4,FALSE)</f>
        <v>0.4</v>
      </c>
      <c r="F16" s="16">
        <f>VLOOKUP(RIGHT(B16,8),'Điểm thực hành các buổi '!$B$2:$F$41,5,FALSE)</f>
        <v>0.45</v>
      </c>
      <c r="G16" s="16">
        <f>VLOOKUP(RIGHT(B16,8),'Điểm bài tập lớn'!$B$2:$D$41,3,FALSE)</f>
        <v>0</v>
      </c>
      <c r="H16" s="16">
        <f>VLOOKUP(RIGHT(B16,8),'Điểm lý thuyết'!$B$2:$D$41,3,FALSE)</f>
        <v>6.8</v>
      </c>
      <c r="I16" s="16">
        <f t="shared" si="0"/>
        <v>5.4</v>
      </c>
      <c r="J16" s="16">
        <f>ROUND(IF(OR(G16=0,VALUE(LEFT(B16,1))&gt;2),0,I16+VLOOKUP(VALUE(LEFT(B16,1)),'Các bảng tham chiếu &amp; Thống kê'!$E$3:$F$5,2,0)),1)</f>
        <v>0</v>
      </c>
      <c r="K16" s="63" t="str">
        <f t="shared" si="1"/>
        <v>F</v>
      </c>
    </row>
    <row r="17" spans="1:11" ht="19.2" customHeight="1">
      <c r="A17" s="33">
        <v>11</v>
      </c>
      <c r="B17" s="16" t="s">
        <v>28</v>
      </c>
      <c r="C17" s="64" t="str">
        <f>VLOOKUP(RIGHT(B17,8), 'Các bảng tham chiếu &amp; Thống kê'!$B$14:$C$52, 2, FALSE)</f>
        <v>Trần Thị Thanh Nguyên</v>
      </c>
      <c r="D17" s="16">
        <f>VLOOKUP(RIGHT(B17,8),'Điểm thực hành các buổi '!$B$2:$F$41,3,FALSE)</f>
        <v>0.45</v>
      </c>
      <c r="E17" s="16">
        <f>VLOOKUP(RIGHT(B17,8),'Điểm thực hành các buổi '!$B$2:$E$41,4,FALSE)</f>
        <v>0.4</v>
      </c>
      <c r="F17" s="16">
        <f>VLOOKUP(RIGHT(B17,8),'Điểm thực hành các buổi '!$B$2:$F$41,5,FALSE)</f>
        <v>0.4</v>
      </c>
      <c r="G17" s="16">
        <f>VLOOKUP(RIGHT(B17,8),'Điểm bài tập lớn'!$B$2:$D$41,3,FALSE)</f>
        <v>0.75</v>
      </c>
      <c r="H17" s="16">
        <f>VLOOKUP(RIGHT(B17,8),'Điểm lý thuyết'!$B$2:$D$41,3,FALSE)</f>
        <v>6.3</v>
      </c>
      <c r="I17" s="16">
        <f t="shared" si="0"/>
        <v>5.8</v>
      </c>
      <c r="J17" s="16">
        <f>ROUND(IF(OR(G17=0,VALUE(LEFT(B17,1))&gt;2),0,I17+VLOOKUP(VALUE(LEFT(B17,1)),'Các bảng tham chiếu &amp; Thống kê'!$E$3:$F$5,2,0)),1)</f>
        <v>6.8</v>
      </c>
      <c r="K17" s="63" t="str">
        <f t="shared" si="1"/>
        <v>C+</v>
      </c>
    </row>
    <row r="18" spans="1:11" ht="19.2" customHeight="1">
      <c r="A18" s="33">
        <v>12</v>
      </c>
      <c r="B18" s="16" t="s">
        <v>29</v>
      </c>
      <c r="C18" s="64" t="str">
        <f>VLOOKUP(RIGHT(B18,8), 'Các bảng tham chiếu &amp; Thống kê'!$B$14:$C$52, 2, FALSE)</f>
        <v>Nguyễn Thị Thúy Nga</v>
      </c>
      <c r="D18" s="16">
        <f>VLOOKUP(RIGHT(B18,8),'Điểm thực hành các buổi '!$B$2:$F$41,3,FALSE)</f>
        <v>0.3</v>
      </c>
      <c r="E18" s="16">
        <f>VLOOKUP(RIGHT(B18,8),'Điểm thực hành các buổi '!$B$2:$E$41,4,FALSE)</f>
        <v>0.5</v>
      </c>
      <c r="F18" s="16">
        <f>VLOOKUP(RIGHT(B18,8),'Điểm thực hành các buổi '!$B$2:$F$41,5,FALSE)</f>
        <v>0.45</v>
      </c>
      <c r="G18" s="16">
        <f>VLOOKUP(RIGHT(B18,8),'Điểm bài tập lớn'!$B$2:$D$41,3,FALSE)</f>
        <v>0.3</v>
      </c>
      <c r="H18" s="16">
        <f>VLOOKUP(RIGHT(B18,8),'Điểm lý thuyết'!$B$2:$D$41,3,FALSE)</f>
        <v>8.3000000000000007</v>
      </c>
      <c r="I18" s="16">
        <f t="shared" si="0"/>
        <v>6.5</v>
      </c>
      <c r="J18" s="16">
        <f>ROUND(IF(OR(G18=0,VALUE(LEFT(B18,1))&gt;2),0,I18+VLOOKUP(VALUE(LEFT(B18,1)),'Các bảng tham chiếu &amp; Thống kê'!$E$3:$F$5,2,0)),1)</f>
        <v>7</v>
      </c>
      <c r="K18" s="63" t="str">
        <f t="shared" si="1"/>
        <v>B</v>
      </c>
    </row>
    <row r="19" spans="1:11" ht="19.2" customHeight="1">
      <c r="A19" s="33">
        <v>13</v>
      </c>
      <c r="B19" s="16" t="s">
        <v>30</v>
      </c>
      <c r="C19" s="64" t="str">
        <f>VLOOKUP(RIGHT(B19,8), 'Các bảng tham chiếu &amp; Thống kê'!$B$14:$C$52, 2, FALSE)</f>
        <v>Vũ Mạnh Thắng</v>
      </c>
      <c r="D19" s="16">
        <f>VLOOKUP(RIGHT(B19,8),'Điểm thực hành các buổi '!$B$2:$F$41,3,FALSE)</f>
        <v>0.4</v>
      </c>
      <c r="E19" s="16">
        <f>VLOOKUP(RIGHT(B19,8),'Điểm thực hành các buổi '!$B$2:$E$41,4,FALSE)</f>
        <v>0.5</v>
      </c>
      <c r="F19" s="16">
        <f>VLOOKUP(RIGHT(B19,8),'Điểm thực hành các buổi '!$B$2:$F$41,5,FALSE)</f>
        <v>0.5</v>
      </c>
      <c r="G19" s="16">
        <f>VLOOKUP(RIGHT(B19,8),'Điểm bài tập lớn'!$B$2:$D$41,3,FALSE)</f>
        <v>1.2</v>
      </c>
      <c r="H19" s="16">
        <f>VLOOKUP(RIGHT(B19,8),'Điểm lý thuyết'!$B$2:$D$41,3,FALSE)</f>
        <v>5.5</v>
      </c>
      <c r="I19" s="16">
        <f t="shared" si="0"/>
        <v>5.9</v>
      </c>
      <c r="J19" s="16">
        <f>ROUND(IF(OR(G19=0,VALUE(LEFT(B19,1))&gt;2),0,I19+VLOOKUP(VALUE(LEFT(B19,1)),'Các bảng tham chiếu &amp; Thống kê'!$E$3:$F$5,2,0)),1)</f>
        <v>6.9</v>
      </c>
      <c r="K19" s="63" t="str">
        <f t="shared" si="1"/>
        <v>C+</v>
      </c>
    </row>
    <row r="20" spans="1:11" ht="19.2" customHeight="1">
      <c r="A20" s="33">
        <v>14</v>
      </c>
      <c r="B20" s="16" t="s">
        <v>31</v>
      </c>
      <c r="C20" s="64" t="str">
        <f>VLOOKUP(RIGHT(B20,8), 'Các bảng tham chiếu &amp; Thống kê'!$B$14:$C$52, 2, FALSE)</f>
        <v>Cao Ngọc Quyên</v>
      </c>
      <c r="D20" s="16">
        <f>VLOOKUP(RIGHT(B20,8),'Điểm thực hành các buổi '!$B$2:$F$41,3,FALSE)</f>
        <v>0.5</v>
      </c>
      <c r="E20" s="16">
        <f>VLOOKUP(RIGHT(B20,8),'Điểm thực hành các buổi '!$B$2:$E$41,4,FALSE)</f>
        <v>0.5</v>
      </c>
      <c r="F20" s="16">
        <f>VLOOKUP(RIGHT(B20,8),'Điểm thực hành các buổi '!$B$2:$F$41,5,FALSE)</f>
        <v>0.45</v>
      </c>
      <c r="G20" s="16">
        <f>VLOOKUP(RIGHT(B20,8),'Điểm bài tập lớn'!$B$2:$D$41,3,FALSE)</f>
        <v>0.3</v>
      </c>
      <c r="H20" s="16">
        <f>VLOOKUP(RIGHT(B20,8),'Điểm lý thuyết'!$B$2:$D$41,3,FALSE)</f>
        <v>6</v>
      </c>
      <c r="I20" s="16">
        <f t="shared" si="0"/>
        <v>5.4</v>
      </c>
      <c r="J20" s="16">
        <f>ROUND(IF(OR(G20=0,VALUE(LEFT(B20,1))&gt;2),0,I20+VLOOKUP(VALUE(LEFT(B20,1)),'Các bảng tham chiếu &amp; Thống kê'!$E$3:$F$5,2,0)),1)</f>
        <v>6.4</v>
      </c>
      <c r="K20" s="63" t="str">
        <f t="shared" si="1"/>
        <v>C</v>
      </c>
    </row>
    <row r="21" spans="1:11" ht="19.2" customHeight="1">
      <c r="A21" s="33">
        <v>15</v>
      </c>
      <c r="B21" s="16" t="s">
        <v>32</v>
      </c>
      <c r="C21" s="64" t="str">
        <f>VLOOKUP(RIGHT(B21,8), 'Các bảng tham chiếu &amp; Thống kê'!$B$14:$C$52, 2, FALSE)</f>
        <v>Nguyễn Chí Thanh</v>
      </c>
      <c r="D21" s="16">
        <f>VLOOKUP(RIGHT(B21,8),'Điểm thực hành các buổi '!$B$2:$F$41,3,FALSE)</f>
        <v>0.4</v>
      </c>
      <c r="E21" s="16">
        <f>VLOOKUP(RIGHT(B21,8),'Điểm thực hành các buổi '!$B$2:$E$41,4,FALSE)</f>
        <v>0.45</v>
      </c>
      <c r="F21" s="16">
        <f>VLOOKUP(RIGHT(B21,8),'Điểm thực hành các buổi '!$B$2:$F$41,5,FALSE)</f>
        <v>0.4</v>
      </c>
      <c r="G21" s="16">
        <f>VLOOKUP(RIGHT(B21,8),'Điểm bài tập lớn'!$B$2:$D$41,3,FALSE)</f>
        <v>0.3</v>
      </c>
      <c r="H21" s="16">
        <f>VLOOKUP(RIGHT(B21,8),'Điểm lý thuyết'!$B$2:$D$41,3,FALSE)</f>
        <v>-3</v>
      </c>
      <c r="I21" s="16">
        <f t="shared" si="0"/>
        <v>0</v>
      </c>
      <c r="J21" s="16">
        <f>ROUND(IF(OR(G21=0,VALUE(LEFT(B21,1))&gt;2),0,I21+VLOOKUP(VALUE(LEFT(B21,1)),'Các bảng tham chiếu &amp; Thống kê'!$E$3:$F$5,2,0)),1)</f>
        <v>0</v>
      </c>
      <c r="K21" s="63" t="str">
        <f t="shared" si="1"/>
        <v>F</v>
      </c>
    </row>
    <row r="22" spans="1:11" ht="19.2" customHeight="1">
      <c r="A22" s="33">
        <v>16</v>
      </c>
      <c r="B22" s="16" t="s">
        <v>33</v>
      </c>
      <c r="C22" s="64" t="str">
        <f>VLOOKUP(RIGHT(B22,8), 'Các bảng tham chiếu &amp; Thống kê'!$B$14:$C$52, 2, FALSE)</f>
        <v>Nguyễn Bích Ngân</v>
      </c>
      <c r="D22" s="16">
        <f>VLOOKUP(RIGHT(B22,8),'Điểm thực hành các buổi '!$B$2:$F$41,3,FALSE)</f>
        <v>0.4</v>
      </c>
      <c r="E22" s="16">
        <f>VLOOKUP(RIGHT(B22,8),'Điểm thực hành các buổi '!$B$2:$E$41,4,FALSE)</f>
        <v>0.45</v>
      </c>
      <c r="F22" s="16">
        <f>VLOOKUP(RIGHT(B22,8),'Điểm thực hành các buổi '!$B$2:$F$41,5,FALSE)</f>
        <v>0.45</v>
      </c>
      <c r="G22" s="16">
        <f>VLOOKUP(RIGHT(B22,8),'Điểm bài tập lớn'!$B$2:$D$41,3,FALSE)</f>
        <v>1</v>
      </c>
      <c r="H22" s="16">
        <f>VLOOKUP(RIGHT(B22,8),'Điểm lý thuyết'!$B$2:$D$41,3,FALSE)</f>
        <v>5.7</v>
      </c>
      <c r="I22" s="16">
        <f t="shared" si="0"/>
        <v>5.7</v>
      </c>
      <c r="J22" s="16">
        <f>ROUND(IF(OR(G22=0,VALUE(LEFT(B22,1))&gt;2),0,I22+VLOOKUP(VALUE(LEFT(B22,1)),'Các bảng tham chiếu &amp; Thống kê'!$E$3:$F$5,2,0)),1)</f>
        <v>6.7</v>
      </c>
      <c r="K22" s="63" t="str">
        <f t="shared" si="1"/>
        <v>C+</v>
      </c>
    </row>
    <row r="23" spans="1:11" ht="19.2" customHeight="1">
      <c r="A23" s="33">
        <v>17</v>
      </c>
      <c r="B23" s="16" t="s">
        <v>34</v>
      </c>
      <c r="C23" s="64" t="str">
        <f>VLOOKUP(RIGHT(B23,8), 'Các bảng tham chiếu &amp; Thống kê'!$B$14:$C$52, 2, FALSE)</f>
        <v>Nguyễn Hải Anh</v>
      </c>
      <c r="D23" s="16">
        <f>VLOOKUP(RIGHT(B23,8),'Điểm thực hành các buổi '!$B$2:$F$41,3,FALSE)</f>
        <v>0.5</v>
      </c>
      <c r="E23" s="16">
        <f>VLOOKUP(RIGHT(B23,8),'Điểm thực hành các buổi '!$B$2:$E$41,4,FALSE)</f>
        <v>0.5</v>
      </c>
      <c r="F23" s="16">
        <f>VLOOKUP(RIGHT(B23,8),'Điểm thực hành các buổi '!$B$2:$F$41,5,FALSE)</f>
        <v>0.45</v>
      </c>
      <c r="G23" s="16">
        <f>VLOOKUP(RIGHT(B23,8),'Điểm bài tập lớn'!$B$2:$D$41,3,FALSE)</f>
        <v>1.5</v>
      </c>
      <c r="H23" s="16">
        <f>VLOOKUP(RIGHT(B23,8),'Điểm lý thuyết'!$B$2:$D$41,3,FALSE)</f>
        <v>7</v>
      </c>
      <c r="I23" s="16">
        <f t="shared" si="0"/>
        <v>7.2</v>
      </c>
      <c r="J23" s="16">
        <f>ROUND(IF(OR(G23=0,VALUE(LEFT(B23,1))&gt;2),0,I23+VLOOKUP(VALUE(LEFT(B23,1)),'Các bảng tham chiếu &amp; Thống kê'!$E$3:$F$5,2,0)),1)</f>
        <v>7.5</v>
      </c>
      <c r="K23" s="63" t="str">
        <f t="shared" si="1"/>
        <v>B</v>
      </c>
    </row>
    <row r="24" spans="1:11" ht="19.2" customHeight="1">
      <c r="A24" s="33">
        <v>18</v>
      </c>
      <c r="B24" s="16" t="s">
        <v>35</v>
      </c>
      <c r="C24" s="64" t="str">
        <f>VLOOKUP(RIGHT(B24,8), 'Các bảng tham chiếu &amp; Thống kê'!$B$14:$C$52, 2, FALSE)</f>
        <v>Nguyễn Hoàng Châu</v>
      </c>
      <c r="D24" s="16">
        <f>VLOOKUP(RIGHT(B24,8),'Điểm thực hành các buổi '!$B$2:$F$41,3,FALSE)</f>
        <v>0.4</v>
      </c>
      <c r="E24" s="16">
        <f>VLOOKUP(RIGHT(B24,8),'Điểm thực hành các buổi '!$B$2:$E$41,4,FALSE)</f>
        <v>0.4</v>
      </c>
      <c r="F24" s="16">
        <f>VLOOKUP(RIGHT(B24,8),'Điểm thực hành các buổi '!$B$2:$F$41,5,FALSE)</f>
        <v>0.4</v>
      </c>
      <c r="G24" s="16">
        <f>VLOOKUP(RIGHT(B24,8),'Điểm bài tập lớn'!$B$2:$D$41,3,FALSE)</f>
        <v>0.3</v>
      </c>
      <c r="H24" s="16">
        <f>VLOOKUP(RIGHT(B24,8),'Điểm lý thuyết'!$B$2:$D$41,3,FALSE)</f>
        <v>6.5</v>
      </c>
      <c r="I24" s="16">
        <f t="shared" si="0"/>
        <v>5.4</v>
      </c>
      <c r="J24" s="16">
        <f>ROUND(IF(OR(G24=0,VALUE(LEFT(B24,1))&gt;2),0,I24+VLOOKUP(VALUE(LEFT(B24,1)),'Các bảng tham chiếu &amp; Thống kê'!$E$3:$F$5,2,0)),1)</f>
        <v>6.4</v>
      </c>
      <c r="K24" s="63" t="str">
        <f t="shared" si="1"/>
        <v>C</v>
      </c>
    </row>
    <row r="25" spans="1:11" ht="19.2" customHeight="1">
      <c r="A25" s="33">
        <v>19</v>
      </c>
      <c r="B25" s="16" t="s">
        <v>36</v>
      </c>
      <c r="C25" s="64" t="str">
        <f>VLOOKUP(RIGHT(B25,8), 'Các bảng tham chiếu &amp; Thống kê'!$B$14:$C$52, 2, FALSE)</f>
        <v>Trần Nam Dương</v>
      </c>
      <c r="D25" s="16">
        <f>VLOOKUP(RIGHT(B25,8),'Điểm thực hành các buổi '!$B$2:$F$41,3,FALSE)</f>
        <v>0.4</v>
      </c>
      <c r="E25" s="16">
        <f>VLOOKUP(RIGHT(B25,8),'Điểm thực hành các buổi '!$B$2:$E$41,4,FALSE)</f>
        <v>0.4</v>
      </c>
      <c r="F25" s="16">
        <f>VLOOKUP(RIGHT(B25,8),'Điểm thực hành các buổi '!$B$2:$F$41,5,FALSE)</f>
        <v>0.35</v>
      </c>
      <c r="G25" s="16">
        <f>VLOOKUP(RIGHT(B25,8),'Điểm bài tập lớn'!$B$2:$D$41,3,FALSE)</f>
        <v>1.35</v>
      </c>
      <c r="H25" s="16">
        <f>VLOOKUP(RIGHT(B25,8),'Điểm lý thuyết'!$B$2:$D$41,3,FALSE)</f>
        <v>-3</v>
      </c>
      <c r="I25" s="16">
        <f t="shared" si="0"/>
        <v>0</v>
      </c>
      <c r="J25" s="16">
        <f>ROUND(IF(OR(G25=0,VALUE(LEFT(B25,1))&gt;2),0,I25+VLOOKUP(VALUE(LEFT(B25,1)),'Các bảng tham chiếu &amp; Thống kê'!$E$3:$F$5,2,0)),1)</f>
        <v>0</v>
      </c>
      <c r="K25" s="63" t="str">
        <f t="shared" si="1"/>
        <v>F</v>
      </c>
    </row>
    <row r="26" spans="1:11" ht="19.2" customHeight="1">
      <c r="A26" s="33">
        <v>20</v>
      </c>
      <c r="B26" s="16" t="s">
        <v>37</v>
      </c>
      <c r="C26" s="64" t="str">
        <f>VLOOKUP(RIGHT(B26,8), 'Các bảng tham chiếu &amp; Thống kê'!$B$14:$C$52, 2, FALSE)</f>
        <v>Đào Nguyễn Duy Khanh</v>
      </c>
      <c r="D26" s="16">
        <f>VLOOKUP(RIGHT(B26,8),'Điểm thực hành các buổi '!$B$2:$F$41,3,FALSE)</f>
        <v>0.35</v>
      </c>
      <c r="E26" s="16">
        <f>VLOOKUP(RIGHT(B26,8),'Điểm thực hành các buổi '!$B$2:$E$41,4,FALSE)</f>
        <v>0.4</v>
      </c>
      <c r="F26" s="16">
        <f>VLOOKUP(RIGHT(B26,8),'Điểm thực hành các buổi '!$B$2:$F$41,5,FALSE)</f>
        <v>0</v>
      </c>
      <c r="G26" s="16">
        <f>VLOOKUP(RIGHT(B26,8),'Điểm bài tập lớn'!$B$2:$D$41,3,FALSE)</f>
        <v>0.85</v>
      </c>
      <c r="H26" s="16">
        <f>VLOOKUP(RIGHT(B26,8),'Điểm lý thuyết'!$B$2:$D$41,3,FALSE)</f>
        <v>6.5</v>
      </c>
      <c r="I26" s="16">
        <f t="shared" si="0"/>
        <v>5.5</v>
      </c>
      <c r="J26" s="16">
        <f>ROUND(IF(OR(G26=0,VALUE(LEFT(B26,1))&gt;2),0,I26+VLOOKUP(VALUE(LEFT(B26,1)),'Các bảng tham chiếu &amp; Thống kê'!$E$3:$F$5,2,0)),1)</f>
        <v>6.5</v>
      </c>
      <c r="K26" s="63" t="str">
        <f t="shared" si="1"/>
        <v>C+</v>
      </c>
    </row>
    <row r="27" spans="1:11" ht="19.2" customHeight="1">
      <c r="A27" s="33">
        <v>21</v>
      </c>
      <c r="B27" s="16" t="s">
        <v>38</v>
      </c>
      <c r="C27" s="64" t="str">
        <f>VLOOKUP(RIGHT(B27,8), 'Các bảng tham chiếu &amp; Thống kê'!$B$14:$C$52, 2, FALSE)</f>
        <v>Ngô Hùng Vĩ</v>
      </c>
      <c r="D27" s="16">
        <f>VLOOKUP(RIGHT(B27,8),'Điểm thực hành các buổi '!$B$2:$F$41,3,FALSE)</f>
        <v>0.5</v>
      </c>
      <c r="E27" s="16">
        <f>VLOOKUP(RIGHT(B27,8),'Điểm thực hành các buổi '!$B$2:$E$41,4,FALSE)</f>
        <v>0.4</v>
      </c>
      <c r="F27" s="16">
        <f>VLOOKUP(RIGHT(B27,8),'Điểm thực hành các buổi '!$B$2:$F$41,5,FALSE)</f>
        <v>0.45</v>
      </c>
      <c r="G27" s="16">
        <f>VLOOKUP(RIGHT(B27,8),'Điểm bài tập lớn'!$B$2:$D$41,3,FALSE)</f>
        <v>1.35</v>
      </c>
      <c r="H27" s="16">
        <f>VLOOKUP(RIGHT(B27,8),'Điểm lý thuyết'!$B$2:$D$41,3,FALSE)</f>
        <v>6.7</v>
      </c>
      <c r="I27" s="16">
        <f t="shared" si="0"/>
        <v>6.7</v>
      </c>
      <c r="J27" s="16">
        <f>ROUND(IF(OR(G27=0,VALUE(LEFT(B27,1))&gt;2),0,I27+VLOOKUP(VALUE(LEFT(B27,1)),'Các bảng tham chiếu &amp; Thống kê'!$E$3:$F$5,2,0)),1)</f>
        <v>7.7</v>
      </c>
      <c r="K27" s="63" t="str">
        <f t="shared" si="1"/>
        <v>B</v>
      </c>
    </row>
    <row r="28" spans="1:11" ht="19.2" customHeight="1">
      <c r="A28" s="33">
        <v>22</v>
      </c>
      <c r="B28" s="16" t="s">
        <v>39</v>
      </c>
      <c r="C28" s="64" t="str">
        <f>VLOOKUP(RIGHT(B28,8), 'Các bảng tham chiếu &amp; Thống kê'!$B$14:$C$52, 2, FALSE)</f>
        <v>Lê Thanh Tùng</v>
      </c>
      <c r="D28" s="16">
        <f>VLOOKUP(RIGHT(B28,8),'Điểm thực hành các buổi '!$B$2:$F$41,3,FALSE)</f>
        <v>0.4</v>
      </c>
      <c r="E28" s="16">
        <f>VLOOKUP(RIGHT(B28,8),'Điểm thực hành các buổi '!$B$2:$E$41,4,FALSE)</f>
        <v>0.4</v>
      </c>
      <c r="F28" s="16">
        <f>VLOOKUP(RIGHT(B28,8),'Điểm thực hành các buổi '!$B$2:$F$41,5,FALSE)</f>
        <v>0.4</v>
      </c>
      <c r="G28" s="16">
        <f>VLOOKUP(RIGHT(B28,8),'Điểm bài tập lớn'!$B$2:$D$41,3,FALSE)</f>
        <v>0</v>
      </c>
      <c r="H28" s="16">
        <f>VLOOKUP(RIGHT(B28,8),'Điểm lý thuyết'!$B$2:$D$41,3,FALSE)</f>
        <v>4.5</v>
      </c>
      <c r="I28" s="16">
        <f t="shared" si="0"/>
        <v>3.9</v>
      </c>
      <c r="J28" s="16">
        <f>ROUND(IF(OR(G28=0,VALUE(LEFT(B28,1))&gt;2),0,I28+VLOOKUP(VALUE(LEFT(B28,1)),'Các bảng tham chiếu &amp; Thống kê'!$E$3:$F$5,2,0)),1)</f>
        <v>0</v>
      </c>
      <c r="K28" s="63" t="str">
        <f t="shared" si="1"/>
        <v>F</v>
      </c>
    </row>
    <row r="29" spans="1:11" ht="19.2" customHeight="1">
      <c r="A29" s="33">
        <v>23</v>
      </c>
      <c r="B29" s="16" t="s">
        <v>40</v>
      </c>
      <c r="C29" s="64" t="str">
        <f>VLOOKUP(RIGHT(B29,8), 'Các bảng tham chiếu &amp; Thống kê'!$B$14:$C$52, 2, FALSE)</f>
        <v>Lê Hồng Quốc Vương</v>
      </c>
      <c r="D29" s="16">
        <f>VLOOKUP(RIGHT(B29,8),'Điểm thực hành các buổi '!$B$2:$F$41,3,FALSE)</f>
        <v>0.5</v>
      </c>
      <c r="E29" s="16">
        <f>VLOOKUP(RIGHT(B29,8),'Điểm thực hành các buổi '!$B$2:$E$41,4,FALSE)</f>
        <v>0.5</v>
      </c>
      <c r="F29" s="16">
        <f>VLOOKUP(RIGHT(B29,8),'Điểm thực hành các buổi '!$B$2:$F$41,5,FALSE)</f>
        <v>0.5</v>
      </c>
      <c r="G29" s="16">
        <f>VLOOKUP(RIGHT(B29,8),'Điểm bài tập lớn'!$B$2:$D$41,3,FALSE)</f>
        <v>1.5</v>
      </c>
      <c r="H29" s="16">
        <f>VLOOKUP(RIGHT(B29,8),'Điểm lý thuyết'!$B$2:$D$41,3,FALSE)</f>
        <v>7.5</v>
      </c>
      <c r="I29" s="16">
        <f t="shared" si="0"/>
        <v>7.5</v>
      </c>
      <c r="J29" s="16">
        <f>ROUND(IF(OR(G29=0,VALUE(LEFT(B29,1))&gt;2),0,I29+VLOOKUP(VALUE(LEFT(B29,1)),'Các bảng tham chiếu &amp; Thống kê'!$E$3:$F$5,2,0)),1)</f>
        <v>8.5</v>
      </c>
      <c r="K29" s="63" t="str">
        <f t="shared" si="1"/>
        <v>B+</v>
      </c>
    </row>
    <row r="30" spans="1:11" ht="19.2" customHeight="1">
      <c r="A30" s="33">
        <v>24</v>
      </c>
      <c r="B30" s="16" t="s">
        <v>41</v>
      </c>
      <c r="C30" s="64" t="str">
        <f>VLOOKUP(RIGHT(B30,8), 'Các bảng tham chiếu &amp; Thống kê'!$B$14:$C$52, 2, FALSE)</f>
        <v>Huỳnh Hoàng Ẩn</v>
      </c>
      <c r="D30" s="16">
        <f>VLOOKUP(RIGHT(B30,8),'Điểm thực hành các buổi '!$B$2:$F$41,3,FALSE)</f>
        <v>0.45</v>
      </c>
      <c r="E30" s="16">
        <f>VLOOKUP(RIGHT(B30,8),'Điểm thực hành các buổi '!$B$2:$E$41,4,FALSE)</f>
        <v>0.3</v>
      </c>
      <c r="F30" s="16">
        <f>VLOOKUP(RIGHT(B30,8),'Điểm thực hành các buổi '!$B$2:$F$41,5,FALSE)</f>
        <v>0.45</v>
      </c>
      <c r="G30" s="16">
        <f>VLOOKUP(RIGHT(B30,8),'Điểm bài tập lớn'!$B$2:$D$41,3,FALSE)</f>
        <v>1.2</v>
      </c>
      <c r="H30" s="16">
        <f>VLOOKUP(RIGHT(B30,8),'Điểm lý thuyết'!$B$2:$D$41,3,FALSE)</f>
        <v>8.8000000000000007</v>
      </c>
      <c r="I30" s="16">
        <f t="shared" si="0"/>
        <v>7.7</v>
      </c>
      <c r="J30" s="16">
        <f>ROUND(IF(OR(G30=0,VALUE(LEFT(B30,1))&gt;2),0,I30+VLOOKUP(VALUE(LEFT(B30,1)),'Các bảng tham chiếu &amp; Thống kê'!$E$3:$F$5,2,0)),1)</f>
        <v>8</v>
      </c>
      <c r="K30" s="63" t="str">
        <f t="shared" si="1"/>
        <v>B+</v>
      </c>
    </row>
    <row r="31" spans="1:11" ht="19.2" customHeight="1">
      <c r="A31" s="33">
        <v>25</v>
      </c>
      <c r="B31" s="16" t="s">
        <v>42</v>
      </c>
      <c r="C31" s="64" t="str">
        <f>VLOOKUP(RIGHT(B31,8), 'Các bảng tham chiếu &amp; Thống kê'!$B$14:$C$52, 2, FALSE)</f>
        <v>Hồ Thị Mỷ Huyền</v>
      </c>
      <c r="D31" s="16">
        <f>VLOOKUP(RIGHT(B31,8),'Điểm thực hành các buổi '!$B$2:$F$41,3,FALSE)</f>
        <v>0.3</v>
      </c>
      <c r="E31" s="16">
        <f>VLOOKUP(RIGHT(B31,8),'Điểm thực hành các buổi '!$B$2:$E$41,4,FALSE)</f>
        <v>0.3</v>
      </c>
      <c r="F31" s="16">
        <f>VLOOKUP(RIGHT(B31,8),'Điểm thực hành các buổi '!$B$2:$F$41,5,FALSE)</f>
        <v>0.4</v>
      </c>
      <c r="G31" s="16">
        <f>VLOOKUP(RIGHT(B31,8),'Điểm bài tập lớn'!$B$2:$D$41,3,FALSE)</f>
        <v>0.75</v>
      </c>
      <c r="H31" s="16">
        <f>VLOOKUP(RIGHT(B31,8),'Điểm lý thuyết'!$B$2:$D$41,3,FALSE)</f>
        <v>6.8</v>
      </c>
      <c r="I31" s="16">
        <f t="shared" si="0"/>
        <v>5.8</v>
      </c>
      <c r="J31" s="16">
        <f>ROUND(IF(OR(G31=0,VALUE(LEFT(B31,1))&gt;2),0,I31+VLOOKUP(VALUE(LEFT(B31,1)),'Các bảng tham chiếu &amp; Thống kê'!$E$3:$F$5,2,0)),1)</f>
        <v>6.3</v>
      </c>
      <c r="K31" s="63" t="str">
        <f t="shared" si="1"/>
        <v>C</v>
      </c>
    </row>
    <row r="32" spans="1:11" ht="19.2" customHeight="1">
      <c r="A32" s="33">
        <v>26</v>
      </c>
      <c r="B32" s="16" t="s">
        <v>43</v>
      </c>
      <c r="C32" s="64" t="str">
        <f>VLOOKUP(RIGHT(B32,8), 'Các bảng tham chiếu &amp; Thống kê'!$B$14:$C$52, 2, FALSE)</f>
        <v>Đặng Trung Kiên</v>
      </c>
      <c r="D32" s="16">
        <f>VLOOKUP(RIGHT(B32,8),'Điểm thực hành các buổi '!$B$2:$F$41,3,FALSE)</f>
        <v>0.5</v>
      </c>
      <c r="E32" s="16">
        <f>VLOOKUP(RIGHT(B32,8),'Điểm thực hành các buổi '!$B$2:$E$41,4,FALSE)</f>
        <v>0.3</v>
      </c>
      <c r="F32" s="16">
        <f>VLOOKUP(RIGHT(B32,8),'Điểm thực hành các buổi '!$B$2:$F$41,5,FALSE)</f>
        <v>0.45</v>
      </c>
      <c r="G32" s="16">
        <f>VLOOKUP(RIGHT(B32,8),'Điểm bài tập lớn'!$B$2:$D$41,3,FALSE)</f>
        <v>1</v>
      </c>
      <c r="H32" s="16">
        <f>VLOOKUP(RIGHT(B32,8),'Điểm lý thuyết'!$B$2:$D$41,3,FALSE)</f>
        <v>7.8</v>
      </c>
      <c r="I32" s="16">
        <f t="shared" si="0"/>
        <v>6.9</v>
      </c>
      <c r="J32" s="16">
        <f>ROUND(IF(OR(G32=0,VALUE(LEFT(B32,1))&gt;2),0,I32+VLOOKUP(VALUE(LEFT(B32,1)),'Các bảng tham chiếu &amp; Thống kê'!$E$3:$F$5,2,0)),1)</f>
        <v>7.9</v>
      </c>
      <c r="K32" s="63" t="str">
        <f t="shared" si="1"/>
        <v>B</v>
      </c>
    </row>
    <row r="33" spans="1:11" ht="19.2" customHeight="1">
      <c r="A33" s="33">
        <v>27</v>
      </c>
      <c r="B33" s="16" t="s">
        <v>44</v>
      </c>
      <c r="C33" s="64" t="str">
        <f>VLOOKUP(RIGHT(B33,8), 'Các bảng tham chiếu &amp; Thống kê'!$B$14:$C$52, 2, FALSE)</f>
        <v>Ngụy Hữu Lộc</v>
      </c>
      <c r="D33" s="16">
        <f>VLOOKUP(RIGHT(B33,8),'Điểm thực hành các buổi '!$B$2:$F$41,3,FALSE)</f>
        <v>0.5</v>
      </c>
      <c r="E33" s="16">
        <f>VLOOKUP(RIGHT(B33,8),'Điểm thực hành các buổi '!$B$2:$E$41,4,FALSE)</f>
        <v>0.4</v>
      </c>
      <c r="F33" s="16">
        <f>VLOOKUP(RIGHT(B33,8),'Điểm thực hành các buổi '!$B$2:$F$41,5,FALSE)</f>
        <v>0.45</v>
      </c>
      <c r="G33" s="16">
        <f>VLOOKUP(RIGHT(B33,8),'Điểm bài tập lớn'!$B$2:$D$41,3,FALSE)</f>
        <v>1.5</v>
      </c>
      <c r="H33" s="16">
        <f>VLOOKUP(RIGHT(B33,8),'Điểm lý thuyết'!$B$2:$D$41,3,FALSE)</f>
        <v>8.8000000000000007</v>
      </c>
      <c r="I33" s="16">
        <f t="shared" si="0"/>
        <v>8.1</v>
      </c>
      <c r="J33" s="16">
        <f>ROUND(IF(OR(G33=0,VALUE(LEFT(B33,1))&gt;2),0,I33+VLOOKUP(VALUE(LEFT(B33,1)),'Các bảng tham chiếu &amp; Thống kê'!$E$3:$F$5,2,0)),1)</f>
        <v>9.1</v>
      </c>
      <c r="K33" s="63" t="str">
        <f t="shared" si="1"/>
        <v>B+</v>
      </c>
    </row>
    <row r="34" spans="1:11" ht="19.2" customHeight="1">
      <c r="A34" s="33">
        <v>28</v>
      </c>
      <c r="B34" s="16" t="s">
        <v>45</v>
      </c>
      <c r="C34" s="64" t="str">
        <f>VLOOKUP(RIGHT(B34,8), 'Các bảng tham chiếu &amp; Thống kê'!$B$14:$C$52, 2, FALSE)</f>
        <v>Nguyễn Trà Mi</v>
      </c>
      <c r="D34" s="16">
        <f>VLOOKUP(RIGHT(B34,8),'Điểm thực hành các buổi '!$B$2:$F$41,3,FALSE)</f>
        <v>0.5</v>
      </c>
      <c r="E34" s="16">
        <f>VLOOKUP(RIGHT(B34,8),'Điểm thực hành các buổi '!$B$2:$E$41,4,FALSE)</f>
        <v>0.45</v>
      </c>
      <c r="F34" s="16">
        <f>VLOOKUP(RIGHT(B34,8),'Điểm thực hành các buổi '!$B$2:$F$41,5,FALSE)</f>
        <v>0.45</v>
      </c>
      <c r="G34" s="16">
        <f>VLOOKUP(RIGHT(B34,8),'Điểm bài tập lớn'!$B$2:$D$41,3,FALSE)</f>
        <v>1</v>
      </c>
      <c r="H34" s="16">
        <f>VLOOKUP(RIGHT(B34,8),'Điểm lý thuyết'!$B$2:$D$41,3,FALSE)</f>
        <v>7.8</v>
      </c>
      <c r="I34" s="16">
        <f t="shared" si="0"/>
        <v>7.1</v>
      </c>
      <c r="J34" s="16">
        <f>ROUND(IF(OR(G34=0,VALUE(LEFT(B34,1))&gt;2),0,I34+VLOOKUP(VALUE(LEFT(B34,1)),'Các bảng tham chiếu &amp; Thống kê'!$E$3:$F$5,2,0)),1)</f>
        <v>8.1</v>
      </c>
      <c r="K34" s="63" t="str">
        <f t="shared" si="1"/>
        <v>B+</v>
      </c>
    </row>
    <row r="35" spans="1:11" ht="19.2" customHeight="1">
      <c r="A35" s="33">
        <v>29</v>
      </c>
      <c r="B35" s="16" t="s">
        <v>46</v>
      </c>
      <c r="C35" s="64" t="str">
        <f>VLOOKUP(RIGHT(B35,8), 'Các bảng tham chiếu &amp; Thống kê'!$B$14:$C$52, 2, FALSE)</f>
        <v>Lại Ngọc Hoàng Phi</v>
      </c>
      <c r="D35" s="16">
        <f>VLOOKUP(RIGHT(B35,8),'Điểm thực hành các buổi '!$B$2:$F$41,3,FALSE)</f>
        <v>0.5</v>
      </c>
      <c r="E35" s="16">
        <f>VLOOKUP(RIGHT(B35,8),'Điểm thực hành các buổi '!$B$2:$E$41,4,FALSE)</f>
        <v>0.5</v>
      </c>
      <c r="F35" s="16">
        <f>VLOOKUP(RIGHT(B35,8),'Điểm thực hành các buổi '!$B$2:$F$41,5,FALSE)</f>
        <v>0.5</v>
      </c>
      <c r="G35" s="16">
        <f>VLOOKUP(RIGHT(B35,8),'Điểm bài tập lớn'!$B$2:$D$41,3,FALSE)</f>
        <v>0</v>
      </c>
      <c r="H35" s="16">
        <f>VLOOKUP(RIGHT(B35,8),'Điểm lý thuyết'!$B$2:$D$41,3,FALSE)</f>
        <v>7.7</v>
      </c>
      <c r="I35" s="16">
        <f t="shared" si="0"/>
        <v>6.1</v>
      </c>
      <c r="J35" s="16">
        <f>ROUND(IF(OR(G35=0,VALUE(LEFT(B35,1))&gt;2),0,I35+VLOOKUP(VALUE(LEFT(B35,1)),'Các bảng tham chiếu &amp; Thống kê'!$E$3:$F$5,2,0)),1)</f>
        <v>0</v>
      </c>
      <c r="K35" s="63" t="str">
        <f t="shared" si="1"/>
        <v>F</v>
      </c>
    </row>
    <row r="36" spans="1:11" ht="19.2" customHeight="1">
      <c r="A36" s="33">
        <v>30</v>
      </c>
      <c r="B36" s="16" t="s">
        <v>47</v>
      </c>
      <c r="C36" s="64" t="str">
        <f>VLOOKUP(RIGHT(B36,8), 'Các bảng tham chiếu &amp; Thống kê'!$B$14:$C$52, 2, FALSE)</f>
        <v>Nguyễn Khắc Minh Phúc</v>
      </c>
      <c r="D36" s="16">
        <f>VLOOKUP(RIGHT(B36,8),'Điểm thực hành các buổi '!$B$2:$F$41,3,FALSE)</f>
        <v>0.5</v>
      </c>
      <c r="E36" s="16">
        <f>VLOOKUP(RIGHT(B36,8),'Điểm thực hành các buổi '!$B$2:$E$41,4,FALSE)</f>
        <v>0.4</v>
      </c>
      <c r="F36" s="16">
        <f>VLOOKUP(RIGHT(B36,8),'Điểm thực hành các buổi '!$B$2:$F$41,5,FALSE)</f>
        <v>0.45</v>
      </c>
      <c r="G36" s="16">
        <f>VLOOKUP(RIGHT(B36,8),'Điểm bài tập lớn'!$B$2:$D$41,3,FALSE)</f>
        <v>1</v>
      </c>
      <c r="H36" s="16">
        <f>VLOOKUP(RIGHT(B36,8),'Điểm lý thuyết'!$B$2:$D$41,3,FALSE)</f>
        <v>-3</v>
      </c>
      <c r="I36" s="16">
        <f t="shared" si="0"/>
        <v>0</v>
      </c>
      <c r="J36" s="16">
        <f>ROUND(IF(OR(G36=0,VALUE(LEFT(B36,1))&gt;2),0,I36+VLOOKUP(VALUE(LEFT(B36,1)),'Các bảng tham chiếu &amp; Thống kê'!$E$3:$F$5,2,0)),1)</f>
        <v>0</v>
      </c>
      <c r="K36" s="63" t="str">
        <f t="shared" si="1"/>
        <v>F</v>
      </c>
    </row>
    <row r="37" spans="1:11" ht="19.2" customHeight="1">
      <c r="A37" s="33">
        <v>31</v>
      </c>
      <c r="B37" s="16" t="s">
        <v>48</v>
      </c>
      <c r="C37" s="64" t="str">
        <f>VLOOKUP(RIGHT(B37,8), 'Các bảng tham chiếu &amp; Thống kê'!$B$14:$C$52, 2, FALSE)</f>
        <v>Trần Thị Hoàng Quyên</v>
      </c>
      <c r="D37" s="16">
        <f>VLOOKUP(RIGHT(B37,8),'Điểm thực hành các buổi '!$B$2:$F$41,3,FALSE)</f>
        <v>0.4</v>
      </c>
      <c r="E37" s="16">
        <f>VLOOKUP(RIGHT(B37,8),'Điểm thực hành các buổi '!$B$2:$E$41,4,FALSE)</f>
        <v>0.5</v>
      </c>
      <c r="F37" s="16">
        <f>VLOOKUP(RIGHT(B37,8),'Điểm thực hành các buổi '!$B$2:$F$41,5,FALSE)</f>
        <v>0.5</v>
      </c>
      <c r="G37" s="16">
        <f>VLOOKUP(RIGHT(B37,8),'Điểm bài tập lớn'!$B$2:$D$41,3,FALSE)</f>
        <v>1</v>
      </c>
      <c r="H37" s="16">
        <f>VLOOKUP(RIGHT(B37,8),'Điểm lý thuyết'!$B$2:$D$41,3,FALSE)</f>
        <v>9.1999999999999993</v>
      </c>
      <c r="I37" s="16">
        <f t="shared" si="0"/>
        <v>7.9</v>
      </c>
      <c r="J37" s="16">
        <f>ROUND(IF(OR(G37=0,VALUE(LEFT(B37,1))&gt;2),0,I37+VLOOKUP(VALUE(LEFT(B37,1)),'Các bảng tham chiếu &amp; Thống kê'!$E$3:$F$5,2,0)),1)</f>
        <v>8.9</v>
      </c>
      <c r="K37" s="63" t="str">
        <f t="shared" si="1"/>
        <v>B+</v>
      </c>
    </row>
    <row r="38" spans="1:11" ht="19.2" customHeight="1">
      <c r="A38" s="33">
        <v>32</v>
      </c>
      <c r="B38" s="16" t="s">
        <v>49</v>
      </c>
      <c r="C38" s="64" t="str">
        <f>VLOOKUP(RIGHT(B38,8), 'Các bảng tham chiếu &amp; Thống kê'!$B$14:$C$52, 2, FALSE)</f>
        <v>Trương Quốc Thái</v>
      </c>
      <c r="D38" s="16">
        <f>VLOOKUP(RIGHT(B38,8),'Điểm thực hành các buổi '!$B$2:$F$41,3,FALSE)</f>
        <v>0.4</v>
      </c>
      <c r="E38" s="16">
        <f>VLOOKUP(RIGHT(B38,8),'Điểm thực hành các buổi '!$B$2:$E$41,4,FALSE)</f>
        <v>0.4</v>
      </c>
      <c r="F38" s="16">
        <f>VLOOKUP(RIGHT(B38,8),'Điểm thực hành các buổi '!$B$2:$F$41,5,FALSE)</f>
        <v>0.45</v>
      </c>
      <c r="G38" s="16">
        <f>VLOOKUP(RIGHT(B38,8),'Điểm bài tập lớn'!$B$2:$D$41,3,FALSE)</f>
        <v>1</v>
      </c>
      <c r="H38" s="16">
        <f>VLOOKUP(RIGHT(B38,8),'Điểm lý thuyết'!$B$2:$D$41,3,FALSE)</f>
        <v>7.5</v>
      </c>
      <c r="I38" s="16">
        <f t="shared" si="0"/>
        <v>6.8</v>
      </c>
      <c r="J38" s="16">
        <f>ROUND(IF(OR(G38=0,VALUE(LEFT(B38,1))&gt;2),0,I38+VLOOKUP(VALUE(LEFT(B38,1)),'Các bảng tham chiếu &amp; Thống kê'!$E$3:$F$5,2,0)),1)</f>
        <v>7.8</v>
      </c>
      <c r="K38" s="63" t="str">
        <f t="shared" si="1"/>
        <v>B</v>
      </c>
    </row>
    <row r="39" spans="1:11" ht="19.2" customHeight="1">
      <c r="A39" s="33">
        <v>33</v>
      </c>
      <c r="B39" s="16" t="s">
        <v>50</v>
      </c>
      <c r="C39" s="64" t="str">
        <f>VLOOKUP(RIGHT(B39,8), 'Các bảng tham chiếu &amp; Thống kê'!$B$14:$C$52, 2, FALSE)</f>
        <v>Nguyễn Thị Phương Thảo</v>
      </c>
      <c r="D39" s="16">
        <f>VLOOKUP(RIGHT(B39,8),'Điểm thực hành các buổi '!$B$2:$F$41,3,FALSE)</f>
        <v>0.4</v>
      </c>
      <c r="E39" s="16">
        <f>VLOOKUP(RIGHT(B39,8),'Điểm thực hành các buổi '!$B$2:$E$41,4,FALSE)</f>
        <v>0.45</v>
      </c>
      <c r="F39" s="16">
        <f>VLOOKUP(RIGHT(B39,8),'Điểm thực hành các buổi '!$B$2:$F$41,5,FALSE)</f>
        <v>0.45</v>
      </c>
      <c r="G39" s="16">
        <f>VLOOKUP(RIGHT(B39,8),'Điểm bài tập lớn'!$B$2:$D$41,3,FALSE)</f>
        <v>1</v>
      </c>
      <c r="H39" s="16">
        <f>VLOOKUP(RIGHT(B39,8),'Điểm lý thuyết'!$B$2:$D$41,3,FALSE)</f>
        <v>-3</v>
      </c>
      <c r="I39" s="16">
        <f t="shared" si="0"/>
        <v>0</v>
      </c>
      <c r="J39" s="16">
        <f>ROUND(IF(OR(G39=0,VALUE(LEFT(B39,1))&gt;2),0,I39+VLOOKUP(VALUE(LEFT(B39,1)),'Các bảng tham chiếu &amp; Thống kê'!$E$3:$F$5,2,0)),1)</f>
        <v>0</v>
      </c>
      <c r="K39" s="63" t="str">
        <f t="shared" si="1"/>
        <v>F</v>
      </c>
    </row>
    <row r="40" spans="1:11" ht="19.2" customHeight="1">
      <c r="A40" s="33">
        <v>34</v>
      </c>
      <c r="B40" s="16" t="s">
        <v>51</v>
      </c>
      <c r="C40" s="64" t="str">
        <f>VLOOKUP(RIGHT(B40,8), 'Các bảng tham chiếu &amp; Thống kê'!$B$14:$C$52, 2, FALSE)</f>
        <v>Nguyễn Chí Tôn</v>
      </c>
      <c r="D40" s="16">
        <f>VLOOKUP(RIGHT(B40,8),'Điểm thực hành các buổi '!$B$2:$F$41,3,FALSE)</f>
        <v>0.4</v>
      </c>
      <c r="E40" s="16">
        <f>VLOOKUP(RIGHT(B40,8),'Điểm thực hành các buổi '!$B$2:$E$41,4,FALSE)</f>
        <v>0</v>
      </c>
      <c r="F40" s="16">
        <f>VLOOKUP(RIGHT(B40,8),'Điểm thực hành các buổi '!$B$2:$F$41,5,FALSE)</f>
        <v>0.45</v>
      </c>
      <c r="G40" s="16">
        <f>VLOOKUP(RIGHT(B40,8),'Điểm bài tập lớn'!$B$2:$D$41,3,FALSE)</f>
        <v>0.75</v>
      </c>
      <c r="H40" s="16">
        <f>VLOOKUP(RIGHT(B40,8),'Điểm lý thuyết'!$B$2:$D$41,3,FALSE)</f>
        <v>8.3000000000000007</v>
      </c>
      <c r="I40" s="16">
        <f t="shared" si="0"/>
        <v>6.6</v>
      </c>
      <c r="J40" s="16">
        <f>ROUND(IF(OR(G40=0,VALUE(LEFT(B40,1))&gt;2),0,I40+VLOOKUP(VALUE(LEFT(B40,1)),'Các bảng tham chiếu &amp; Thống kê'!$E$3:$F$5,2,0)),1)</f>
        <v>7.1</v>
      </c>
      <c r="K40" s="63" t="str">
        <f t="shared" si="1"/>
        <v>B</v>
      </c>
    </row>
    <row r="41" spans="1:11" ht="19.2" customHeight="1">
      <c r="A41" s="33">
        <v>35</v>
      </c>
      <c r="B41" s="16" t="s">
        <v>52</v>
      </c>
      <c r="C41" s="64" t="str">
        <f>VLOOKUP(RIGHT(B41,8), 'Các bảng tham chiếu &amp; Thống kê'!$B$14:$C$52, 2, FALSE)</f>
        <v>Trịnh Uyên</v>
      </c>
      <c r="D41" s="16">
        <f>VLOOKUP(RIGHT(B41,8),'Điểm thực hành các buổi '!$B$2:$F$41,3,FALSE)</f>
        <v>0.5</v>
      </c>
      <c r="E41" s="16">
        <f>VLOOKUP(RIGHT(B41,8),'Điểm thực hành các buổi '!$B$2:$E$41,4,FALSE)</f>
        <v>0</v>
      </c>
      <c r="F41" s="16">
        <f>VLOOKUP(RIGHT(B41,8),'Điểm thực hành các buổi '!$B$2:$F$41,5,FALSE)</f>
        <v>0</v>
      </c>
      <c r="G41" s="16">
        <f>VLOOKUP(RIGHT(B41,8),'Điểm bài tập lớn'!$B$2:$D$41,3,FALSE)</f>
        <v>0</v>
      </c>
      <c r="H41" s="16">
        <f>VLOOKUP(RIGHT(B41,8),'Điểm lý thuyết'!$B$2:$D$41,3,FALSE)</f>
        <v>7.5</v>
      </c>
      <c r="I41" s="16">
        <f t="shared" si="0"/>
        <v>5</v>
      </c>
      <c r="J41" s="16">
        <f>ROUND(IF(OR(G41=0,VALUE(LEFT(B41,1))&gt;2),0,I41+VLOOKUP(VALUE(LEFT(B41,1)),'Các bảng tham chiếu &amp; Thống kê'!$E$3:$F$5,2,0)),1)</f>
        <v>0</v>
      </c>
      <c r="K41" s="63" t="str">
        <f t="shared" si="1"/>
        <v>F</v>
      </c>
    </row>
    <row r="42" spans="1:11" ht="19.2" customHeight="1">
      <c r="A42" s="33">
        <v>36</v>
      </c>
      <c r="B42" s="16" t="s">
        <v>53</v>
      </c>
      <c r="C42" s="64" t="str">
        <f>VLOOKUP(RIGHT(B42,8), 'Các bảng tham chiếu &amp; Thống kê'!$B$14:$C$52, 2, FALSE)</f>
        <v>Nguyễn Anh Thư</v>
      </c>
      <c r="D42" s="16">
        <f>VLOOKUP(RIGHT(B42,8),'Điểm thực hành các buổi '!$B$2:$F$41,3,FALSE)</f>
        <v>0.5</v>
      </c>
      <c r="E42" s="16">
        <f>VLOOKUP(RIGHT(B42,8),'Điểm thực hành các buổi '!$B$2:$E$41,4,FALSE)</f>
        <v>0.35</v>
      </c>
      <c r="F42" s="16">
        <f>VLOOKUP(RIGHT(B42,8),'Điểm thực hành các buổi '!$B$2:$F$41,5,FALSE)</f>
        <v>0.45</v>
      </c>
      <c r="G42" s="16">
        <f>VLOOKUP(RIGHT(B42,8),'Điểm bài tập lớn'!$B$2:$D$41,3,FALSE)</f>
        <v>0.5</v>
      </c>
      <c r="H42" s="16">
        <f>VLOOKUP(RIGHT(B42,8),'Điểm lý thuyết'!$B$2:$D$41,3,FALSE)</f>
        <v>5.5</v>
      </c>
      <c r="I42" s="16">
        <f t="shared" si="0"/>
        <v>5.0999999999999996</v>
      </c>
      <c r="J42" s="16">
        <f>ROUND(IF(OR(G42=0,VALUE(LEFT(B42,1))&gt;2),0,I42+VLOOKUP(VALUE(LEFT(B42,1)),'Các bảng tham chiếu &amp; Thống kê'!$E$3:$F$5,2,0)),1)</f>
        <v>5.6</v>
      </c>
      <c r="K42" s="63" t="str">
        <f t="shared" si="1"/>
        <v>C</v>
      </c>
    </row>
    <row r="43" spans="1:11" ht="19.2" customHeight="1">
      <c r="A43" s="33">
        <v>37</v>
      </c>
      <c r="B43" s="16" t="s">
        <v>54</v>
      </c>
      <c r="C43" s="64" t="str">
        <f>VLOOKUP(RIGHT(B43,8), 'Các bảng tham chiếu &amp; Thống kê'!$B$14:$C$52, 2, FALSE)</f>
        <v>Huỳnh Lê Tỷ</v>
      </c>
      <c r="D43" s="16">
        <f>VLOOKUP(RIGHT(B43,8),'Điểm thực hành các buổi '!$B$2:$F$41,3,FALSE)</f>
        <v>0.5</v>
      </c>
      <c r="E43" s="16">
        <f>VLOOKUP(RIGHT(B43,8),'Điểm thực hành các buổi '!$B$2:$E$41,4,FALSE)</f>
        <v>0.4</v>
      </c>
      <c r="F43" s="16">
        <f>VLOOKUP(RIGHT(B43,8),'Điểm thực hành các buổi '!$B$2:$F$41,5,FALSE)</f>
        <v>0.4</v>
      </c>
      <c r="G43" s="16">
        <f>VLOOKUP(RIGHT(B43,8),'Điểm bài tập lớn'!$B$2:$D$41,3,FALSE)</f>
        <v>0.3</v>
      </c>
      <c r="H43" s="16">
        <f>VLOOKUP(RIGHT(B43,8),'Điểm lý thuyết'!$B$2:$D$41,3,FALSE)</f>
        <v>6.7</v>
      </c>
      <c r="I43" s="16">
        <f t="shared" si="0"/>
        <v>5.6</v>
      </c>
      <c r="J43" s="16">
        <f>ROUND(IF(OR(G43=0,VALUE(LEFT(B43,1))&gt;2),0,I43+VLOOKUP(VALUE(LEFT(B43,1)),'Các bảng tham chiếu &amp; Thống kê'!$E$3:$F$5,2,0)),1)</f>
        <v>6.6</v>
      </c>
      <c r="K43" s="63" t="str">
        <f t="shared" si="1"/>
        <v>C+</v>
      </c>
    </row>
    <row r="44" spans="1:11" ht="19.2" customHeight="1">
      <c r="A44" s="33">
        <v>38</v>
      </c>
      <c r="B44" s="16" t="s">
        <v>55</v>
      </c>
      <c r="C44" s="64" t="str">
        <f>VLOOKUP(RIGHT(B44,8), 'Các bảng tham chiếu &amp; Thống kê'!$B$14:$C$52, 2, FALSE)</f>
        <v>Nguyễn Ngọc Luyến</v>
      </c>
      <c r="D44" s="16">
        <f>VLOOKUP(RIGHT(B44,8),'Điểm thực hành các buổi '!$B$2:$F$41,3,FALSE)</f>
        <v>0.3</v>
      </c>
      <c r="E44" s="16">
        <f>VLOOKUP(RIGHT(B44,8),'Điểm thực hành các buổi '!$B$2:$E$41,4,FALSE)</f>
        <v>0.4</v>
      </c>
      <c r="F44" s="16">
        <f>VLOOKUP(RIGHT(B44,8),'Điểm thực hành các buổi '!$B$2:$F$41,5,FALSE)</f>
        <v>0.45</v>
      </c>
      <c r="G44" s="16">
        <f>VLOOKUP(RIGHT(B44,8),'Điểm bài tập lớn'!$B$2:$D$41,3,FALSE)</f>
        <v>1</v>
      </c>
      <c r="H44" s="16">
        <f>VLOOKUP(RIGHT(B44,8),'Điểm lý thuyết'!$B$2:$D$41,3,FALSE)</f>
        <v>5.5</v>
      </c>
      <c r="I44" s="16">
        <f t="shared" si="0"/>
        <v>5.5</v>
      </c>
      <c r="J44" s="16">
        <f>ROUND(IF(OR(G44=0,VALUE(LEFT(B44,1))&gt;2),0,I44+VLOOKUP(VALUE(LEFT(B44,1)),'Các bảng tham chiếu &amp; Thống kê'!$E$3:$F$5,2,0)),1)</f>
        <v>6.5</v>
      </c>
      <c r="K44" s="63" t="str">
        <f t="shared" si="1"/>
        <v>C+</v>
      </c>
    </row>
    <row r="45" spans="1:11" ht="19.2" customHeight="1">
      <c r="A45" s="33">
        <v>39</v>
      </c>
      <c r="B45" s="16" t="s">
        <v>56</v>
      </c>
      <c r="C45" s="64" t="str">
        <f>VLOOKUP(RIGHT(B45,8), 'Các bảng tham chiếu &amp; Thống kê'!$B$14:$C$52, 2, FALSE)</f>
        <v>Võ Thị Thùy Trang</v>
      </c>
      <c r="D45" s="16">
        <f>VLOOKUP(RIGHT(B45,8),'Điểm thực hành các buổi '!$B$2:$F$41,3,FALSE)</f>
        <v>0.4</v>
      </c>
      <c r="E45" s="16">
        <f>VLOOKUP(RIGHT(B45,8),'Điểm thực hành các buổi '!$B$2:$E$41,4,FALSE)</f>
        <v>0.4</v>
      </c>
      <c r="F45" s="16">
        <f>VLOOKUP(RIGHT(B45,8),'Điểm thực hành các buổi '!$B$2:$F$41,5,FALSE)</f>
        <v>0.4</v>
      </c>
      <c r="G45" s="16">
        <f>VLOOKUP(RIGHT(B45,8),'Điểm bài tập lớn'!$B$2:$D$41,3,FALSE)</f>
        <v>0.75</v>
      </c>
      <c r="H45" s="16">
        <f>VLOOKUP(RIGHT(B45,8),'Điểm lý thuyết'!$B$2:$D$41,3,FALSE)</f>
        <v>3.2</v>
      </c>
      <c r="I45" s="16">
        <f t="shared" si="0"/>
        <v>3.9</v>
      </c>
      <c r="J45" s="16">
        <f>ROUND(IF(OR(G45=0,VALUE(LEFT(B45,1))&gt;2),0,I45+VLOOKUP(VALUE(LEFT(B45,1)),'Các bảng tham chiếu &amp; Thống kê'!$E$3:$F$5,2,0)),1)</f>
        <v>4.4000000000000004</v>
      </c>
      <c r="K45" s="63" t="str">
        <f t="shared" si="1"/>
        <v>D</v>
      </c>
    </row>
  </sheetData>
  <mergeCells count="7">
    <mergeCell ref="D4:E4"/>
    <mergeCell ref="F4:H4"/>
    <mergeCell ref="B1:H1"/>
    <mergeCell ref="D2:E2"/>
    <mergeCell ref="F2:H2"/>
    <mergeCell ref="D3:E3"/>
    <mergeCell ref="F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E2BE1-AB3F-4491-8625-8089E12FF561}">
  <dimension ref="A1:F54"/>
  <sheetViews>
    <sheetView topLeftCell="A2" zoomScale="70" zoomScaleNormal="70" workbookViewId="0">
      <selection activeCell="Q22" sqref="Q22"/>
    </sheetView>
  </sheetViews>
  <sheetFormatPr defaultRowHeight="14.4"/>
  <cols>
    <col min="1" max="2" width="15.5546875" customWidth="1"/>
    <col min="3" max="3" width="31.88671875" customWidth="1"/>
    <col min="4" max="4" width="15.5546875" customWidth="1"/>
    <col min="5" max="5" width="18.5546875" customWidth="1"/>
    <col min="6" max="6" width="15.5546875" customWidth="1"/>
  </cols>
  <sheetData>
    <row r="1" spans="1:6" ht="31.2" customHeight="1" thickBot="1">
      <c r="A1" s="41" t="s">
        <v>140</v>
      </c>
      <c r="B1" s="42"/>
      <c r="C1" s="43"/>
      <c r="D1" s="17"/>
      <c r="E1" s="44" t="s">
        <v>141</v>
      </c>
      <c r="F1" s="43"/>
    </row>
    <row r="2" spans="1:6" ht="41.4" customHeight="1" thickBot="1">
      <c r="A2" s="18" t="s">
        <v>16</v>
      </c>
      <c r="B2" s="19" t="s">
        <v>17</v>
      </c>
      <c r="C2" s="19" t="s">
        <v>142</v>
      </c>
      <c r="D2" s="17"/>
      <c r="E2" s="20" t="s">
        <v>143</v>
      </c>
      <c r="F2" s="20" t="s">
        <v>144</v>
      </c>
    </row>
    <row r="3" spans="1:6" ht="23.4" customHeight="1" thickBot="1">
      <c r="A3" s="21">
        <v>0</v>
      </c>
      <c r="B3" s="22" t="s">
        <v>145</v>
      </c>
      <c r="C3" s="22">
        <v>0</v>
      </c>
      <c r="D3" s="17"/>
      <c r="E3" s="23">
        <v>0</v>
      </c>
      <c r="F3" s="22">
        <v>1</v>
      </c>
    </row>
    <row r="4" spans="1:6" ht="23.4" customHeight="1" thickBot="1">
      <c r="A4" s="21">
        <v>4</v>
      </c>
      <c r="B4" s="22" t="s">
        <v>146</v>
      </c>
      <c r="C4" s="22">
        <v>1</v>
      </c>
      <c r="D4" s="17"/>
      <c r="E4" s="23">
        <v>1</v>
      </c>
      <c r="F4" s="22">
        <v>0.5</v>
      </c>
    </row>
    <row r="5" spans="1:6" ht="23.4" customHeight="1" thickBot="1">
      <c r="A5" s="21">
        <v>5</v>
      </c>
      <c r="B5" s="22" t="s">
        <v>147</v>
      </c>
      <c r="C5" s="22">
        <v>1.5</v>
      </c>
      <c r="D5" s="17"/>
      <c r="E5" s="23">
        <v>2</v>
      </c>
      <c r="F5" s="22">
        <v>0.25</v>
      </c>
    </row>
    <row r="6" spans="1:6" ht="23.4" customHeight="1" thickBot="1">
      <c r="A6" s="21">
        <v>5.5</v>
      </c>
      <c r="B6" s="22" t="s">
        <v>148</v>
      </c>
      <c r="C6" s="22">
        <v>2</v>
      </c>
      <c r="D6" s="24"/>
      <c r="E6" s="24"/>
      <c r="F6" s="24"/>
    </row>
    <row r="7" spans="1:6" ht="23.4" customHeight="1" thickBot="1">
      <c r="A7" s="21">
        <v>6.5</v>
      </c>
      <c r="B7" s="22" t="s">
        <v>149</v>
      </c>
      <c r="C7" s="22">
        <v>2.5</v>
      </c>
      <c r="D7" s="24"/>
      <c r="E7" s="24"/>
      <c r="F7" s="24"/>
    </row>
    <row r="8" spans="1:6" ht="23.4" customHeight="1" thickBot="1">
      <c r="A8" s="21">
        <v>7</v>
      </c>
      <c r="B8" s="22" t="s">
        <v>150</v>
      </c>
      <c r="C8" s="22">
        <v>3</v>
      </c>
      <c r="D8" s="24"/>
      <c r="E8" s="24"/>
      <c r="F8" s="24"/>
    </row>
    <row r="9" spans="1:6" ht="23.4" customHeight="1" thickBot="1">
      <c r="A9" s="21">
        <v>8</v>
      </c>
      <c r="B9" s="22" t="s">
        <v>151</v>
      </c>
      <c r="C9" s="22">
        <v>3.5</v>
      </c>
      <c r="D9" s="24"/>
      <c r="E9" s="24"/>
      <c r="F9" s="24"/>
    </row>
    <row r="10" spans="1:6" ht="23.4" customHeight="1" thickBot="1">
      <c r="A10" s="21">
        <v>9</v>
      </c>
      <c r="B10" s="22" t="s">
        <v>152</v>
      </c>
      <c r="C10" s="22">
        <v>4</v>
      </c>
      <c r="D10" s="24"/>
      <c r="E10" s="24"/>
      <c r="F10" s="24"/>
    </row>
    <row r="11" spans="1:6" ht="22.8" customHeight="1" thickBot="1">
      <c r="A11" s="25"/>
      <c r="B11" s="25"/>
      <c r="C11" s="25"/>
      <c r="D11" s="24"/>
      <c r="E11" s="26"/>
      <c r="F11" s="26"/>
    </row>
    <row r="12" spans="1:6" ht="37.799999999999997" customHeight="1" thickBot="1">
      <c r="A12" s="45" t="s">
        <v>153</v>
      </c>
      <c r="B12" s="46"/>
      <c r="C12" s="47"/>
      <c r="D12" s="17"/>
      <c r="E12" s="48" t="s">
        <v>154</v>
      </c>
      <c r="F12" s="47"/>
    </row>
    <row r="13" spans="1:6" ht="31.8" customHeight="1" thickBot="1">
      <c r="A13" s="18" t="s">
        <v>7</v>
      </c>
      <c r="B13" s="19" t="s">
        <v>8</v>
      </c>
      <c r="C13" s="19" t="s">
        <v>9</v>
      </c>
      <c r="D13" s="17"/>
      <c r="E13" s="19" t="s">
        <v>17</v>
      </c>
      <c r="F13" s="19" t="s">
        <v>155</v>
      </c>
    </row>
    <row r="14" spans="1:6" ht="23.4" customHeight="1" thickBot="1">
      <c r="A14" s="27">
        <v>1</v>
      </c>
      <c r="B14" s="28" t="s">
        <v>84</v>
      </c>
      <c r="C14" s="28" t="s">
        <v>85</v>
      </c>
      <c r="D14" s="17"/>
      <c r="E14" s="23" t="s">
        <v>152</v>
      </c>
      <c r="F14" s="29">
        <f>COUNTIF('Điểm tổng hợp'!$K$7:$K$45,"A")</f>
        <v>0</v>
      </c>
    </row>
    <row r="15" spans="1:6" ht="23.4" customHeight="1" thickBot="1">
      <c r="A15" s="27">
        <v>2</v>
      </c>
      <c r="B15" s="28" t="s">
        <v>64</v>
      </c>
      <c r="C15" s="28" t="s">
        <v>65</v>
      </c>
      <c r="D15" s="17"/>
      <c r="E15" s="23" t="s">
        <v>151</v>
      </c>
      <c r="F15" s="29">
        <f>COUNTIF('Điểm tổng hợp'!$K$7:$K$45,"B+")</f>
        <v>6</v>
      </c>
    </row>
    <row r="16" spans="1:6" ht="23.4" customHeight="1" thickBot="1">
      <c r="A16" s="27">
        <v>3</v>
      </c>
      <c r="B16" s="28" t="s">
        <v>108</v>
      </c>
      <c r="C16" s="28" t="s">
        <v>109</v>
      </c>
      <c r="D16" s="17"/>
      <c r="E16" s="23" t="s">
        <v>150</v>
      </c>
      <c r="F16" s="29">
        <f>COUNTIF('Điểm tổng hợp'!$K$7:$K$45,"B")</f>
        <v>7</v>
      </c>
    </row>
    <row r="17" spans="1:6" ht="23.4" customHeight="1" thickBot="1">
      <c r="A17" s="27">
        <v>4</v>
      </c>
      <c r="B17" s="28" t="s">
        <v>96</v>
      </c>
      <c r="C17" s="28" t="s">
        <v>97</v>
      </c>
      <c r="D17" s="17"/>
      <c r="E17" s="23" t="s">
        <v>149</v>
      </c>
      <c r="F17" s="29">
        <f>COUNTIF('Điểm tổng hợp'!$K$7:$K$45,"C+")</f>
        <v>6</v>
      </c>
    </row>
    <row r="18" spans="1:6" ht="23.4" customHeight="1" thickBot="1">
      <c r="A18" s="27">
        <v>5</v>
      </c>
      <c r="B18" s="28" t="s">
        <v>106</v>
      </c>
      <c r="C18" s="28" t="s">
        <v>107</v>
      </c>
      <c r="D18" s="17"/>
      <c r="E18" s="23" t="s">
        <v>148</v>
      </c>
      <c r="F18" s="29">
        <f>COUNTIF('Điểm tổng hợp'!$K$7:$K$45,"C")</f>
        <v>9</v>
      </c>
    </row>
    <row r="19" spans="1:6" ht="23.4" customHeight="1" thickBot="1">
      <c r="A19" s="27">
        <v>6</v>
      </c>
      <c r="B19" s="28" t="s">
        <v>104</v>
      </c>
      <c r="C19" s="28" t="s">
        <v>105</v>
      </c>
      <c r="D19" s="17"/>
      <c r="E19" s="23" t="s">
        <v>147</v>
      </c>
      <c r="F19" s="29">
        <f>COUNTIF('Điểm tổng hợp'!$K$7:$K$45,"D+")</f>
        <v>1</v>
      </c>
    </row>
    <row r="20" spans="1:6" ht="23.4" customHeight="1" thickBot="1">
      <c r="A20" s="27">
        <v>7</v>
      </c>
      <c r="B20" s="28" t="s">
        <v>130</v>
      </c>
      <c r="C20" s="28" t="s">
        <v>131</v>
      </c>
      <c r="D20" s="17"/>
      <c r="E20" s="23" t="s">
        <v>146</v>
      </c>
      <c r="F20" s="29">
        <f>COUNTIF('Điểm tổng hợp'!$K$7:$K$45,"D")</f>
        <v>1</v>
      </c>
    </row>
    <row r="21" spans="1:6" ht="23.4" customHeight="1" thickBot="1">
      <c r="A21" s="27">
        <v>8</v>
      </c>
      <c r="B21" s="28" t="s">
        <v>76</v>
      </c>
      <c r="C21" s="28" t="s">
        <v>77</v>
      </c>
      <c r="D21" s="17"/>
      <c r="E21" s="23" t="s">
        <v>145</v>
      </c>
      <c r="F21" s="29">
        <f>COUNTIF('Điểm tổng hợp'!$K$7:$K$45,"F")</f>
        <v>9</v>
      </c>
    </row>
    <row r="22" spans="1:6" ht="23.4" customHeight="1" thickBot="1">
      <c r="A22" s="27">
        <v>9</v>
      </c>
      <c r="B22" s="28" t="s">
        <v>114</v>
      </c>
      <c r="C22" s="28" t="s">
        <v>115</v>
      </c>
      <c r="D22" s="24"/>
      <c r="E22" s="26"/>
      <c r="F22" s="26"/>
    </row>
    <row r="23" spans="1:6" ht="23.4" customHeight="1" thickBot="1">
      <c r="A23" s="27">
        <v>10</v>
      </c>
      <c r="B23" s="28" t="s">
        <v>102</v>
      </c>
      <c r="C23" s="28" t="s">
        <v>103</v>
      </c>
      <c r="D23" s="17"/>
      <c r="E23" s="49" t="s">
        <v>156</v>
      </c>
      <c r="F23" s="50"/>
    </row>
    <row r="24" spans="1:6" ht="23.4" customHeight="1" thickBot="1">
      <c r="A24" s="27">
        <v>11</v>
      </c>
      <c r="B24" s="28" t="s">
        <v>70</v>
      </c>
      <c r="C24" s="28" t="s">
        <v>71</v>
      </c>
      <c r="D24" s="17"/>
      <c r="E24" s="35" t="s">
        <v>157</v>
      </c>
      <c r="F24" s="38">
        <f>COUNTIF('Điểm tổng hợp'!G7:G45,0)+COUNTIF('Điểm tổng hợp'!H7:H45,-3)</f>
        <v>9</v>
      </c>
    </row>
    <row r="25" spans="1:6" ht="23.4" customHeight="1" thickBot="1">
      <c r="A25" s="27">
        <v>12</v>
      </c>
      <c r="B25" s="28" t="s">
        <v>100</v>
      </c>
      <c r="C25" s="28" t="s">
        <v>101</v>
      </c>
      <c r="D25" s="17"/>
      <c r="E25" s="36"/>
      <c r="F25" s="39"/>
    </row>
    <row r="26" spans="1:6" ht="23.4" customHeight="1" thickBot="1">
      <c r="A26" s="27">
        <v>13</v>
      </c>
      <c r="B26" s="28" t="s">
        <v>66</v>
      </c>
      <c r="C26" s="28" t="s">
        <v>67</v>
      </c>
      <c r="D26" s="17"/>
      <c r="E26" s="37"/>
      <c r="F26" s="40"/>
    </row>
    <row r="27" spans="1:6" ht="25.2" customHeight="1" thickBot="1">
      <c r="A27" s="27">
        <v>14</v>
      </c>
      <c r="B27" s="28" t="s">
        <v>60</v>
      </c>
      <c r="C27" s="28" t="s">
        <v>61</v>
      </c>
      <c r="D27" s="17"/>
      <c r="E27" s="35" t="s">
        <v>158</v>
      </c>
      <c r="F27" s="38">
        <f>COUNTIFS('Điểm tổng hợp'!J7:J45,"&gt;=7",'Điểm tổng hợp'!K7:K45,"A")
+COUNTIFS('Điểm tổng hợp'!J7:J45,"&gt;=7",'Điểm tổng hợp'!K7:K45,"B+")</f>
        <v>6</v>
      </c>
    </row>
    <row r="28" spans="1:6" ht="25.2" customHeight="1" thickBot="1">
      <c r="A28" s="27">
        <v>15</v>
      </c>
      <c r="B28" s="28" t="s">
        <v>98</v>
      </c>
      <c r="C28" s="28" t="s">
        <v>99</v>
      </c>
      <c r="D28" s="17"/>
      <c r="E28" s="36"/>
      <c r="F28" s="39"/>
    </row>
    <row r="29" spans="1:6" ht="25.2" customHeight="1" thickBot="1">
      <c r="A29" s="27">
        <v>16</v>
      </c>
      <c r="B29" s="28" t="s">
        <v>110</v>
      </c>
      <c r="C29" s="28" t="s">
        <v>111</v>
      </c>
      <c r="D29" s="17"/>
      <c r="E29" s="37"/>
      <c r="F29" s="40"/>
    </row>
    <row r="30" spans="1:6" ht="23.4" customHeight="1" thickBot="1">
      <c r="A30" s="27">
        <v>17</v>
      </c>
      <c r="B30" s="28" t="s">
        <v>128</v>
      </c>
      <c r="C30" s="28" t="s">
        <v>129</v>
      </c>
      <c r="D30" s="24"/>
      <c r="E30" s="24"/>
      <c r="F30" s="24"/>
    </row>
    <row r="31" spans="1:6" ht="23.4" customHeight="1" thickBot="1">
      <c r="A31" s="27">
        <v>18</v>
      </c>
      <c r="B31" s="28" t="s">
        <v>88</v>
      </c>
      <c r="C31" s="28" t="s">
        <v>89</v>
      </c>
      <c r="D31" s="24"/>
      <c r="E31" s="24"/>
      <c r="F31" s="24"/>
    </row>
    <row r="32" spans="1:6" ht="23.4" customHeight="1" thickBot="1">
      <c r="A32" s="27">
        <v>19</v>
      </c>
      <c r="B32" s="28" t="s">
        <v>86</v>
      </c>
      <c r="C32" s="28" t="s">
        <v>87</v>
      </c>
      <c r="D32" s="24"/>
      <c r="E32" s="24"/>
      <c r="F32" s="24"/>
    </row>
    <row r="33" spans="1:6" ht="23.4" customHeight="1" thickBot="1">
      <c r="A33" s="27">
        <v>20</v>
      </c>
      <c r="B33" s="28" t="s">
        <v>124</v>
      </c>
      <c r="C33" s="28" t="s">
        <v>125</v>
      </c>
      <c r="D33" s="24"/>
      <c r="E33" s="24"/>
      <c r="F33" s="24"/>
    </row>
    <row r="34" spans="1:6" ht="23.4" customHeight="1" thickBot="1">
      <c r="A34" s="27">
        <v>21</v>
      </c>
      <c r="B34" s="28" t="s">
        <v>90</v>
      </c>
      <c r="C34" s="28" t="s">
        <v>91</v>
      </c>
      <c r="D34" s="24"/>
      <c r="E34" s="24"/>
      <c r="F34" s="24"/>
    </row>
    <row r="35" spans="1:6" ht="23.4" customHeight="1" thickBot="1">
      <c r="A35" s="27">
        <v>22</v>
      </c>
      <c r="B35" s="28" t="s">
        <v>92</v>
      </c>
      <c r="C35" s="28" t="s">
        <v>93</v>
      </c>
      <c r="D35" s="24"/>
      <c r="E35" s="24"/>
      <c r="F35" s="24"/>
    </row>
    <row r="36" spans="1:6" ht="23.4" customHeight="1" thickBot="1">
      <c r="A36" s="27">
        <v>23</v>
      </c>
      <c r="B36" s="28" t="s">
        <v>116</v>
      </c>
      <c r="C36" s="28" t="s">
        <v>117</v>
      </c>
      <c r="D36" s="24"/>
      <c r="E36" s="24"/>
      <c r="F36" s="24"/>
    </row>
    <row r="37" spans="1:6" ht="23.4" customHeight="1" thickBot="1">
      <c r="A37" s="27">
        <v>24</v>
      </c>
      <c r="B37" s="28" t="s">
        <v>62</v>
      </c>
      <c r="C37" s="28" t="s">
        <v>63</v>
      </c>
      <c r="D37" s="24"/>
      <c r="E37" s="24"/>
      <c r="F37" s="24"/>
    </row>
    <row r="38" spans="1:6" ht="23.4" customHeight="1" thickBot="1">
      <c r="A38" s="27">
        <v>25</v>
      </c>
      <c r="B38" s="28" t="s">
        <v>132</v>
      </c>
      <c r="C38" s="28" t="s">
        <v>133</v>
      </c>
      <c r="D38" s="24"/>
      <c r="E38" s="24"/>
      <c r="F38" s="24"/>
    </row>
    <row r="39" spans="1:6" ht="23.4" customHeight="1" thickBot="1">
      <c r="A39" s="27">
        <v>26</v>
      </c>
      <c r="B39" s="28" t="s">
        <v>58</v>
      </c>
      <c r="C39" s="28" t="s">
        <v>59</v>
      </c>
      <c r="D39" s="24"/>
      <c r="E39" s="24"/>
      <c r="F39" s="24"/>
    </row>
    <row r="40" spans="1:6" ht="23.4" customHeight="1" thickBot="1">
      <c r="A40" s="27">
        <v>27</v>
      </c>
      <c r="B40" s="28" t="s">
        <v>122</v>
      </c>
      <c r="C40" s="28" t="s">
        <v>123</v>
      </c>
      <c r="D40" s="24"/>
      <c r="E40" s="24"/>
      <c r="F40" s="24"/>
    </row>
    <row r="41" spans="1:6" ht="23.4" customHeight="1" thickBot="1">
      <c r="A41" s="27">
        <v>28</v>
      </c>
      <c r="B41" s="28" t="s">
        <v>80</v>
      </c>
      <c r="C41" s="28" t="s">
        <v>81</v>
      </c>
      <c r="D41" s="24"/>
      <c r="E41" s="24"/>
      <c r="F41" s="24"/>
    </row>
    <row r="42" spans="1:6" ht="23.4" customHeight="1" thickBot="1">
      <c r="A42" s="27">
        <v>29</v>
      </c>
      <c r="B42" s="28" t="s">
        <v>112</v>
      </c>
      <c r="C42" s="28" t="s">
        <v>113</v>
      </c>
      <c r="D42" s="24"/>
      <c r="E42" s="24"/>
      <c r="F42" s="24"/>
    </row>
    <row r="43" spans="1:6" ht="23.4" customHeight="1" thickBot="1">
      <c r="A43" s="27">
        <v>30</v>
      </c>
      <c r="B43" s="28" t="s">
        <v>68</v>
      </c>
      <c r="C43" s="28" t="s">
        <v>69</v>
      </c>
      <c r="D43" s="24"/>
      <c r="E43" s="24"/>
      <c r="F43" s="24"/>
    </row>
    <row r="44" spans="1:6" ht="23.4" customHeight="1" thickBot="1">
      <c r="A44" s="27">
        <v>31</v>
      </c>
      <c r="B44" s="28" t="s">
        <v>72</v>
      </c>
      <c r="C44" s="28" t="s">
        <v>73</v>
      </c>
      <c r="D44" s="24"/>
      <c r="E44" s="24"/>
      <c r="F44" s="24"/>
    </row>
    <row r="45" spans="1:6" ht="23.4" customHeight="1" thickBot="1">
      <c r="A45" s="27">
        <v>32</v>
      </c>
      <c r="B45" s="28" t="s">
        <v>94</v>
      </c>
      <c r="C45" s="28" t="s">
        <v>95</v>
      </c>
      <c r="D45" s="24"/>
      <c r="E45" s="24"/>
      <c r="F45" s="24"/>
    </row>
    <row r="46" spans="1:6" ht="23.4" customHeight="1" thickBot="1">
      <c r="A46" s="27">
        <v>33</v>
      </c>
      <c r="B46" s="28" t="s">
        <v>118</v>
      </c>
      <c r="C46" s="28" t="s">
        <v>119</v>
      </c>
      <c r="D46" s="24"/>
      <c r="E46" s="24"/>
      <c r="F46" s="24"/>
    </row>
    <row r="47" spans="1:6" ht="23.4" customHeight="1" thickBot="1">
      <c r="A47" s="27">
        <v>34</v>
      </c>
      <c r="B47" s="28" t="s">
        <v>74</v>
      </c>
      <c r="C47" s="28" t="s">
        <v>75</v>
      </c>
      <c r="D47" s="24"/>
      <c r="E47" s="24"/>
      <c r="F47" s="24"/>
    </row>
    <row r="48" spans="1:6" ht="23.4" customHeight="1" thickBot="1">
      <c r="A48" s="27">
        <v>35</v>
      </c>
      <c r="B48" s="28" t="s">
        <v>78</v>
      </c>
      <c r="C48" s="28" t="s">
        <v>79</v>
      </c>
      <c r="D48" s="24"/>
      <c r="E48" s="24"/>
      <c r="F48" s="24"/>
    </row>
    <row r="49" spans="1:6" ht="23.4" customHeight="1" thickBot="1">
      <c r="A49" s="27">
        <v>36</v>
      </c>
      <c r="B49" s="28" t="s">
        <v>126</v>
      </c>
      <c r="C49" s="28" t="s">
        <v>127</v>
      </c>
      <c r="D49" s="24"/>
      <c r="E49" s="24"/>
      <c r="F49" s="24"/>
    </row>
    <row r="50" spans="1:6" ht="23.4" customHeight="1" thickBot="1">
      <c r="A50" s="27">
        <v>37</v>
      </c>
      <c r="B50" s="28" t="s">
        <v>120</v>
      </c>
      <c r="C50" s="28" t="s">
        <v>121</v>
      </c>
      <c r="D50" s="24"/>
      <c r="E50" s="24"/>
      <c r="F50" s="24"/>
    </row>
    <row r="51" spans="1:6" ht="23.4" customHeight="1" thickBot="1">
      <c r="A51" s="27">
        <v>38</v>
      </c>
      <c r="B51" s="28" t="s">
        <v>134</v>
      </c>
      <c r="C51" s="28" t="s">
        <v>135</v>
      </c>
      <c r="D51" s="24"/>
      <c r="E51" s="24"/>
      <c r="F51" s="24"/>
    </row>
    <row r="52" spans="1:6" ht="23.4" customHeight="1" thickBot="1">
      <c r="A52" s="27">
        <v>39</v>
      </c>
      <c r="B52" s="28" t="s">
        <v>82</v>
      </c>
      <c r="C52" s="28" t="s">
        <v>83</v>
      </c>
      <c r="D52" s="24"/>
      <c r="E52" s="24"/>
      <c r="F52" s="24"/>
    </row>
    <row r="53" spans="1:6" ht="15.6">
      <c r="A53" s="12"/>
      <c r="B53" s="12"/>
      <c r="C53" s="12"/>
      <c r="D53" s="12"/>
      <c r="E53" s="12"/>
      <c r="F53" s="12"/>
    </row>
    <row r="54" spans="1:6" ht="15.6">
      <c r="A54" s="12"/>
      <c r="B54" s="12"/>
      <c r="C54" s="12"/>
      <c r="D54" s="12"/>
      <c r="E54" s="12"/>
      <c r="F54" s="12"/>
    </row>
  </sheetData>
  <mergeCells count="9">
    <mergeCell ref="E27:E29"/>
    <mergeCell ref="F27:F29"/>
    <mergeCell ref="A1:C1"/>
    <mergeCell ref="E1:F1"/>
    <mergeCell ref="A12:C12"/>
    <mergeCell ref="E12:F12"/>
    <mergeCell ref="E23:F23"/>
    <mergeCell ref="E24:E26"/>
    <mergeCell ref="F24:F2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1D62-1482-45B5-A972-2D2AC070F72F}">
  <dimension ref="A1:F41"/>
  <sheetViews>
    <sheetView topLeftCell="A7" workbookViewId="0">
      <selection activeCell="E3" sqref="E3"/>
    </sheetView>
  </sheetViews>
  <sheetFormatPr defaultRowHeight="14.4"/>
  <cols>
    <col min="1" max="1" width="9.33203125" customWidth="1"/>
    <col min="2" max="2" width="18.21875" customWidth="1"/>
    <col min="3" max="3" width="24" customWidth="1"/>
    <col min="4" max="6" width="9.33203125" customWidth="1"/>
  </cols>
  <sheetData>
    <row r="1" spans="1:6" ht="21" thickBot="1">
      <c r="A1" s="51" t="s">
        <v>57</v>
      </c>
      <c r="B1" s="52"/>
      <c r="C1" s="52"/>
      <c r="D1" s="52"/>
      <c r="E1" s="52"/>
      <c r="F1" s="53"/>
    </row>
    <row r="2" spans="1:6" ht="31.8" thickBot="1">
      <c r="A2" s="3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</row>
    <row r="3" spans="1:6" ht="16.2" thickBot="1">
      <c r="A3" s="2">
        <v>1</v>
      </c>
      <c r="B3" s="5" t="s">
        <v>58</v>
      </c>
      <c r="C3" s="1" t="s">
        <v>59</v>
      </c>
      <c r="D3" s="6">
        <v>0.45</v>
      </c>
      <c r="E3" s="6">
        <v>0.25</v>
      </c>
      <c r="F3" s="6">
        <v>0.3</v>
      </c>
    </row>
    <row r="4" spans="1:6" ht="16.2" thickBot="1">
      <c r="A4" s="2">
        <v>2</v>
      </c>
      <c r="B4" s="5" t="s">
        <v>60</v>
      </c>
      <c r="C4" s="1" t="s">
        <v>61</v>
      </c>
      <c r="D4" s="6">
        <v>0.5</v>
      </c>
      <c r="E4" s="6">
        <v>0.35</v>
      </c>
      <c r="F4" s="6">
        <v>0.4</v>
      </c>
    </row>
    <row r="5" spans="1:6" ht="16.2" thickBot="1">
      <c r="A5" s="2">
        <v>3</v>
      </c>
      <c r="B5" s="5" t="s">
        <v>62</v>
      </c>
      <c r="C5" s="1" t="s">
        <v>63</v>
      </c>
      <c r="D5" s="6">
        <v>0.25</v>
      </c>
      <c r="E5" s="6">
        <v>0.25</v>
      </c>
      <c r="F5" s="6">
        <v>0.3</v>
      </c>
    </row>
    <row r="6" spans="1:6" ht="16.2" thickBot="1">
      <c r="A6" s="2">
        <v>4</v>
      </c>
      <c r="B6" s="5" t="s">
        <v>64</v>
      </c>
      <c r="C6" s="1" t="s">
        <v>65</v>
      </c>
      <c r="D6" s="6">
        <v>0.4</v>
      </c>
      <c r="E6" s="6">
        <v>0.25</v>
      </c>
      <c r="F6" s="6">
        <v>0.35</v>
      </c>
    </row>
    <row r="7" spans="1:6" ht="16.2" thickBot="1">
      <c r="A7" s="2">
        <v>5</v>
      </c>
      <c r="B7" s="5" t="s">
        <v>66</v>
      </c>
      <c r="C7" s="1" t="s">
        <v>67</v>
      </c>
      <c r="D7" s="6">
        <v>0.45</v>
      </c>
      <c r="E7" s="6">
        <v>0.4</v>
      </c>
      <c r="F7" s="6">
        <v>0.35</v>
      </c>
    </row>
    <row r="8" spans="1:6" ht="16.2" thickBot="1">
      <c r="A8" s="2">
        <v>6</v>
      </c>
      <c r="B8" s="5" t="s">
        <v>68</v>
      </c>
      <c r="C8" s="1" t="s">
        <v>69</v>
      </c>
      <c r="D8" s="6">
        <v>0.4</v>
      </c>
      <c r="E8" s="6">
        <v>0.45</v>
      </c>
      <c r="F8" s="6">
        <v>0.5</v>
      </c>
    </row>
    <row r="9" spans="1:6" ht="16.2" thickBot="1">
      <c r="A9" s="2">
        <v>7</v>
      </c>
      <c r="B9" s="5" t="s">
        <v>70</v>
      </c>
      <c r="C9" s="1" t="s">
        <v>71</v>
      </c>
      <c r="D9" s="6">
        <v>0.4</v>
      </c>
      <c r="E9" s="6">
        <v>0.4</v>
      </c>
      <c r="F9" s="6">
        <v>0.4</v>
      </c>
    </row>
    <row r="10" spans="1:6" ht="16.2" thickBot="1">
      <c r="A10" s="2">
        <v>8</v>
      </c>
      <c r="B10" s="5" t="s">
        <v>72</v>
      </c>
      <c r="C10" s="1" t="s">
        <v>73</v>
      </c>
      <c r="D10" s="6">
        <v>0.45</v>
      </c>
      <c r="E10" s="6">
        <v>0.4</v>
      </c>
      <c r="F10" s="6">
        <v>0.4</v>
      </c>
    </row>
    <row r="11" spans="1:6" ht="16.2" thickBot="1">
      <c r="A11" s="2">
        <v>9</v>
      </c>
      <c r="B11" s="5" t="s">
        <v>74</v>
      </c>
      <c r="C11" s="1" t="s">
        <v>75</v>
      </c>
      <c r="D11" s="6">
        <v>0.5</v>
      </c>
      <c r="E11" s="6">
        <v>0.4</v>
      </c>
      <c r="F11" s="6">
        <v>0.4</v>
      </c>
    </row>
    <row r="12" spans="1:6" ht="16.2" thickBot="1">
      <c r="A12" s="2">
        <v>10</v>
      </c>
      <c r="B12" s="5" t="s">
        <v>76</v>
      </c>
      <c r="C12" s="1" t="s">
        <v>77</v>
      </c>
      <c r="D12" s="6">
        <v>0.45</v>
      </c>
      <c r="E12" s="6">
        <v>0.4</v>
      </c>
      <c r="F12" s="6">
        <v>0.45</v>
      </c>
    </row>
    <row r="13" spans="1:6" ht="16.2" thickBot="1">
      <c r="A13" s="2">
        <v>11</v>
      </c>
      <c r="B13" s="5" t="s">
        <v>78</v>
      </c>
      <c r="C13" s="1" t="s">
        <v>79</v>
      </c>
      <c r="D13" s="6">
        <v>0.45</v>
      </c>
      <c r="E13" s="6">
        <v>0.4</v>
      </c>
      <c r="F13" s="6">
        <v>0.4</v>
      </c>
    </row>
    <row r="14" spans="1:6" ht="16.2" thickBot="1">
      <c r="A14" s="2">
        <v>12</v>
      </c>
      <c r="B14" s="5" t="s">
        <v>80</v>
      </c>
      <c r="C14" s="1" t="s">
        <v>81</v>
      </c>
      <c r="D14" s="6">
        <v>0.3</v>
      </c>
      <c r="E14" s="6">
        <v>0.5</v>
      </c>
      <c r="F14" s="6">
        <v>0.45</v>
      </c>
    </row>
    <row r="15" spans="1:6" ht="16.2" thickBot="1">
      <c r="A15" s="2">
        <v>13</v>
      </c>
      <c r="B15" s="5" t="s">
        <v>82</v>
      </c>
      <c r="C15" s="1" t="s">
        <v>83</v>
      </c>
      <c r="D15" s="6">
        <v>0.4</v>
      </c>
      <c r="E15" s="6">
        <v>0.5</v>
      </c>
      <c r="F15" s="6">
        <v>0.5</v>
      </c>
    </row>
    <row r="16" spans="1:6" ht="16.2" thickBot="1">
      <c r="A16" s="2">
        <v>14</v>
      </c>
      <c r="B16" s="5" t="s">
        <v>84</v>
      </c>
      <c r="C16" s="1" t="s">
        <v>85</v>
      </c>
      <c r="D16" s="6">
        <v>0.5</v>
      </c>
      <c r="E16" s="6">
        <v>0.5</v>
      </c>
      <c r="F16" s="6">
        <v>0.45</v>
      </c>
    </row>
    <row r="17" spans="1:6" ht="16.2" thickBot="1">
      <c r="A17" s="2">
        <v>15</v>
      </c>
      <c r="B17" s="5" t="s">
        <v>86</v>
      </c>
      <c r="C17" s="1" t="s">
        <v>87</v>
      </c>
      <c r="D17" s="6">
        <v>0.4</v>
      </c>
      <c r="E17" s="6">
        <v>0.45</v>
      </c>
      <c r="F17" s="6">
        <v>0.4</v>
      </c>
    </row>
    <row r="18" spans="1:6" ht="16.2" thickBot="1">
      <c r="A18" s="2">
        <v>16</v>
      </c>
      <c r="B18" s="5" t="s">
        <v>88</v>
      </c>
      <c r="C18" s="1" t="s">
        <v>89</v>
      </c>
      <c r="D18" s="6">
        <v>0.4</v>
      </c>
      <c r="E18" s="6">
        <v>0.45</v>
      </c>
      <c r="F18" s="6">
        <v>0.45</v>
      </c>
    </row>
    <row r="19" spans="1:6" ht="16.2" thickBot="1">
      <c r="A19" s="2">
        <v>17</v>
      </c>
      <c r="B19" s="5" t="s">
        <v>90</v>
      </c>
      <c r="C19" s="1" t="s">
        <v>91</v>
      </c>
      <c r="D19" s="6">
        <v>0.5</v>
      </c>
      <c r="E19" s="6">
        <v>0.5</v>
      </c>
      <c r="F19" s="6">
        <v>0.45</v>
      </c>
    </row>
    <row r="20" spans="1:6" ht="16.2" thickBot="1">
      <c r="A20" s="2">
        <v>18</v>
      </c>
      <c r="B20" s="5" t="s">
        <v>92</v>
      </c>
      <c r="C20" s="1" t="s">
        <v>93</v>
      </c>
      <c r="D20" s="6">
        <v>0.4</v>
      </c>
      <c r="E20" s="6">
        <v>0.4</v>
      </c>
      <c r="F20" s="6">
        <v>0.4</v>
      </c>
    </row>
    <row r="21" spans="1:6" ht="16.2" thickBot="1">
      <c r="A21" s="2">
        <v>19</v>
      </c>
      <c r="B21" s="5" t="s">
        <v>94</v>
      </c>
      <c r="C21" s="1" t="s">
        <v>95</v>
      </c>
      <c r="D21" s="6">
        <v>0.4</v>
      </c>
      <c r="E21" s="6">
        <v>0.4</v>
      </c>
      <c r="F21" s="6">
        <v>0.35</v>
      </c>
    </row>
    <row r="22" spans="1:6" ht="16.2" thickBot="1">
      <c r="A22" s="2">
        <v>20</v>
      </c>
      <c r="B22" s="5" t="s">
        <v>96</v>
      </c>
      <c r="C22" s="1" t="s">
        <v>97</v>
      </c>
      <c r="D22" s="6">
        <v>0.35</v>
      </c>
      <c r="E22" s="6">
        <v>0.4</v>
      </c>
      <c r="F22" s="6">
        <v>0</v>
      </c>
    </row>
    <row r="23" spans="1:6" ht="16.2" thickBot="1">
      <c r="A23" s="2">
        <v>21</v>
      </c>
      <c r="B23" s="5" t="s">
        <v>98</v>
      </c>
      <c r="C23" s="1" t="s">
        <v>99</v>
      </c>
      <c r="D23" s="6">
        <v>0.5</v>
      </c>
      <c r="E23" s="6">
        <v>0.4</v>
      </c>
      <c r="F23" s="6">
        <v>0.45</v>
      </c>
    </row>
    <row r="24" spans="1:6" ht="16.2" thickBot="1">
      <c r="A24" s="2">
        <v>22</v>
      </c>
      <c r="B24" s="5" t="s">
        <v>100</v>
      </c>
      <c r="C24" s="1" t="s">
        <v>101</v>
      </c>
      <c r="D24" s="6">
        <v>0.4</v>
      </c>
      <c r="E24" s="6">
        <v>0.4</v>
      </c>
      <c r="F24" s="6">
        <v>0.4</v>
      </c>
    </row>
    <row r="25" spans="1:6" ht="16.2" thickBot="1">
      <c r="A25" s="2">
        <v>23</v>
      </c>
      <c r="B25" s="5" t="s">
        <v>102</v>
      </c>
      <c r="C25" s="1" t="s">
        <v>103</v>
      </c>
      <c r="D25" s="6">
        <v>0.5</v>
      </c>
      <c r="E25" s="6">
        <v>0.5</v>
      </c>
      <c r="F25" s="6">
        <v>0.5</v>
      </c>
    </row>
    <row r="26" spans="1:6" ht="16.2" thickBot="1">
      <c r="A26" s="2">
        <v>24</v>
      </c>
      <c r="B26" s="5" t="s">
        <v>104</v>
      </c>
      <c r="C26" s="1" t="s">
        <v>105</v>
      </c>
      <c r="D26" s="6">
        <v>0.45</v>
      </c>
      <c r="E26" s="6">
        <v>0.3</v>
      </c>
      <c r="F26" s="6">
        <v>0.45</v>
      </c>
    </row>
    <row r="27" spans="1:6" ht="16.2" thickBot="1">
      <c r="A27" s="2">
        <v>25</v>
      </c>
      <c r="B27" s="5" t="s">
        <v>106</v>
      </c>
      <c r="C27" s="1" t="s">
        <v>107</v>
      </c>
      <c r="D27" s="6">
        <v>0.3</v>
      </c>
      <c r="E27" s="6">
        <v>0.3</v>
      </c>
      <c r="F27" s="6">
        <v>0.4</v>
      </c>
    </row>
    <row r="28" spans="1:6" ht="16.2" thickBot="1">
      <c r="A28" s="2">
        <v>26</v>
      </c>
      <c r="B28" s="5" t="s">
        <v>108</v>
      </c>
      <c r="C28" s="1" t="s">
        <v>109</v>
      </c>
      <c r="D28" s="6">
        <v>0.5</v>
      </c>
      <c r="E28" s="6">
        <v>0.3</v>
      </c>
      <c r="F28" s="6">
        <v>0.45</v>
      </c>
    </row>
    <row r="29" spans="1:6" ht="16.2" thickBot="1">
      <c r="A29" s="2">
        <v>27</v>
      </c>
      <c r="B29" s="5" t="s">
        <v>110</v>
      </c>
      <c r="C29" s="1" t="s">
        <v>111</v>
      </c>
      <c r="D29" s="6">
        <v>0.5</v>
      </c>
      <c r="E29" s="6">
        <v>0.4</v>
      </c>
      <c r="F29" s="6">
        <v>0.45</v>
      </c>
    </row>
    <row r="30" spans="1:6" ht="16.2" thickBot="1">
      <c r="A30" s="2">
        <v>28</v>
      </c>
      <c r="B30" s="5" t="s">
        <v>112</v>
      </c>
      <c r="C30" s="1" t="s">
        <v>113</v>
      </c>
      <c r="D30" s="6">
        <v>0.5</v>
      </c>
      <c r="E30" s="6">
        <v>0.45</v>
      </c>
      <c r="F30" s="6">
        <v>0.45</v>
      </c>
    </row>
    <row r="31" spans="1:6" ht="16.2" thickBot="1">
      <c r="A31" s="2">
        <v>29</v>
      </c>
      <c r="B31" s="5" t="s">
        <v>114</v>
      </c>
      <c r="C31" s="1" t="s">
        <v>115</v>
      </c>
      <c r="D31" s="6">
        <v>0.5</v>
      </c>
      <c r="E31" s="6">
        <v>0.5</v>
      </c>
      <c r="F31" s="6">
        <v>0.5</v>
      </c>
    </row>
    <row r="32" spans="1:6" ht="16.2" thickBot="1">
      <c r="A32" s="2">
        <v>30</v>
      </c>
      <c r="B32" s="5" t="s">
        <v>116</v>
      </c>
      <c r="C32" s="1" t="s">
        <v>117</v>
      </c>
      <c r="D32" s="6">
        <v>0.5</v>
      </c>
      <c r="E32" s="6">
        <v>0.4</v>
      </c>
      <c r="F32" s="6">
        <v>0.45</v>
      </c>
    </row>
    <row r="33" spans="1:6" ht="16.2" thickBot="1">
      <c r="A33" s="2">
        <v>31</v>
      </c>
      <c r="B33" s="5" t="s">
        <v>118</v>
      </c>
      <c r="C33" s="1" t="s">
        <v>119</v>
      </c>
      <c r="D33" s="6">
        <v>0.4</v>
      </c>
      <c r="E33" s="6">
        <v>0.5</v>
      </c>
      <c r="F33" s="6">
        <v>0.5</v>
      </c>
    </row>
    <row r="34" spans="1:6" ht="16.2" thickBot="1">
      <c r="A34" s="2">
        <v>32</v>
      </c>
      <c r="B34" s="5" t="s">
        <v>120</v>
      </c>
      <c r="C34" s="1" t="s">
        <v>121</v>
      </c>
      <c r="D34" s="6">
        <v>0.4</v>
      </c>
      <c r="E34" s="6">
        <v>0.4</v>
      </c>
      <c r="F34" s="6">
        <v>0.45</v>
      </c>
    </row>
    <row r="35" spans="1:6" ht="16.2" thickBot="1">
      <c r="A35" s="2">
        <v>33</v>
      </c>
      <c r="B35" s="5" t="s">
        <v>122</v>
      </c>
      <c r="C35" s="1" t="s">
        <v>123</v>
      </c>
      <c r="D35" s="6">
        <v>0.4</v>
      </c>
      <c r="E35" s="6">
        <v>0.45</v>
      </c>
      <c r="F35" s="6">
        <v>0.45</v>
      </c>
    </row>
    <row r="36" spans="1:6" ht="16.2" thickBot="1">
      <c r="A36" s="2">
        <v>34</v>
      </c>
      <c r="B36" s="5" t="s">
        <v>124</v>
      </c>
      <c r="C36" s="1" t="s">
        <v>125</v>
      </c>
      <c r="D36" s="6">
        <v>0.4</v>
      </c>
      <c r="E36" s="6">
        <v>0</v>
      </c>
      <c r="F36" s="6">
        <v>0.45</v>
      </c>
    </row>
    <row r="37" spans="1:6" ht="16.2" thickBot="1">
      <c r="A37" s="2">
        <v>35</v>
      </c>
      <c r="B37" s="5" t="s">
        <v>126</v>
      </c>
      <c r="C37" s="1" t="s">
        <v>127</v>
      </c>
      <c r="D37" s="6">
        <v>0.5</v>
      </c>
      <c r="E37" s="6">
        <v>0</v>
      </c>
      <c r="F37" s="6">
        <v>0</v>
      </c>
    </row>
    <row r="38" spans="1:6" ht="16.2" thickBot="1">
      <c r="A38" s="2">
        <v>36</v>
      </c>
      <c r="B38" s="5" t="s">
        <v>128</v>
      </c>
      <c r="C38" s="1" t="s">
        <v>129</v>
      </c>
      <c r="D38" s="6">
        <v>0.5</v>
      </c>
      <c r="E38" s="6">
        <v>0.35</v>
      </c>
      <c r="F38" s="6">
        <v>0.45</v>
      </c>
    </row>
    <row r="39" spans="1:6" ht="16.2" thickBot="1">
      <c r="A39" s="2">
        <v>37</v>
      </c>
      <c r="B39" s="5" t="s">
        <v>130</v>
      </c>
      <c r="C39" s="1" t="s">
        <v>131</v>
      </c>
      <c r="D39" s="6">
        <v>0.5</v>
      </c>
      <c r="E39" s="6">
        <v>0.4</v>
      </c>
      <c r="F39" s="6">
        <v>0.4</v>
      </c>
    </row>
    <row r="40" spans="1:6" ht="16.2" thickBot="1">
      <c r="A40" s="2">
        <v>38</v>
      </c>
      <c r="B40" s="5" t="s">
        <v>132</v>
      </c>
      <c r="C40" s="1" t="s">
        <v>133</v>
      </c>
      <c r="D40" s="6">
        <v>0.3</v>
      </c>
      <c r="E40" s="6">
        <v>0.4</v>
      </c>
      <c r="F40" s="6">
        <v>0.45</v>
      </c>
    </row>
    <row r="41" spans="1:6" ht="16.2" thickBot="1">
      <c r="A41" s="2">
        <v>39</v>
      </c>
      <c r="B41" s="5" t="s">
        <v>134</v>
      </c>
      <c r="C41" s="1" t="s">
        <v>135</v>
      </c>
      <c r="D41" s="6">
        <v>0.4</v>
      </c>
      <c r="E41" s="6">
        <v>0.4</v>
      </c>
      <c r="F41" s="6">
        <v>0.4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EA923-BBF0-4FC3-A221-D42B71AC4FA3}">
  <dimension ref="A1:D41"/>
  <sheetViews>
    <sheetView topLeftCell="A10" workbookViewId="0">
      <selection activeCell="F6" sqref="F6"/>
    </sheetView>
  </sheetViews>
  <sheetFormatPr defaultRowHeight="14.4"/>
  <cols>
    <col min="1" max="1" width="10.21875" customWidth="1"/>
    <col min="2" max="2" width="14.77734375" customWidth="1"/>
    <col min="3" max="3" width="25.6640625" customWidth="1"/>
    <col min="4" max="4" width="10.5546875" customWidth="1"/>
  </cols>
  <sheetData>
    <row r="1" spans="1:4" ht="24" customHeight="1" thickBot="1">
      <c r="A1" s="54" t="s">
        <v>136</v>
      </c>
      <c r="B1" s="55"/>
      <c r="C1" s="55"/>
      <c r="D1" s="56"/>
    </row>
    <row r="2" spans="1:4" ht="24" customHeight="1" thickBot="1">
      <c r="A2" s="7" t="s">
        <v>7</v>
      </c>
      <c r="B2" s="8" t="s">
        <v>8</v>
      </c>
      <c r="C2" s="8" t="s">
        <v>9</v>
      </c>
      <c r="D2" s="8" t="s">
        <v>137</v>
      </c>
    </row>
    <row r="3" spans="1:4" ht="24" customHeight="1" thickBot="1">
      <c r="A3" s="2">
        <v>1</v>
      </c>
      <c r="B3" s="5" t="s">
        <v>58</v>
      </c>
      <c r="C3" s="1" t="s">
        <v>59</v>
      </c>
      <c r="D3" s="6">
        <v>0.5</v>
      </c>
    </row>
    <row r="4" spans="1:4" ht="24" customHeight="1" thickBot="1">
      <c r="A4" s="2">
        <v>2</v>
      </c>
      <c r="B4" s="5" t="s">
        <v>60</v>
      </c>
      <c r="C4" s="1" t="s">
        <v>61</v>
      </c>
      <c r="D4" s="6">
        <v>1</v>
      </c>
    </row>
    <row r="5" spans="1:4" ht="24" customHeight="1" thickBot="1">
      <c r="A5" s="2">
        <v>3</v>
      </c>
      <c r="B5" s="5" t="s">
        <v>62</v>
      </c>
      <c r="C5" s="1" t="s">
        <v>63</v>
      </c>
      <c r="D5" s="6">
        <v>0.5</v>
      </c>
    </row>
    <row r="6" spans="1:4" ht="24" customHeight="1" thickBot="1">
      <c r="A6" s="2">
        <v>4</v>
      </c>
      <c r="B6" s="5" t="s">
        <v>64</v>
      </c>
      <c r="C6" s="1" t="s">
        <v>65</v>
      </c>
      <c r="D6" s="6">
        <v>1</v>
      </c>
    </row>
    <row r="7" spans="1:4" ht="24" customHeight="1" thickBot="1">
      <c r="A7" s="2">
        <v>5</v>
      </c>
      <c r="B7" s="5" t="s">
        <v>66</v>
      </c>
      <c r="C7" s="1" t="s">
        <v>67</v>
      </c>
      <c r="D7" s="6">
        <v>0.75</v>
      </c>
    </row>
    <row r="8" spans="1:4" ht="24" customHeight="1" thickBot="1">
      <c r="A8" s="2">
        <v>6</v>
      </c>
      <c r="B8" s="5" t="s">
        <v>68</v>
      </c>
      <c r="C8" s="1" t="s">
        <v>69</v>
      </c>
      <c r="D8" s="6">
        <v>1.2</v>
      </c>
    </row>
    <row r="9" spans="1:4" ht="24" customHeight="1" thickBot="1">
      <c r="A9" s="2">
        <v>7</v>
      </c>
      <c r="B9" s="5" t="s">
        <v>70</v>
      </c>
      <c r="C9" s="1" t="s">
        <v>71</v>
      </c>
      <c r="D9" s="6">
        <v>1</v>
      </c>
    </row>
    <row r="10" spans="1:4" ht="24" customHeight="1" thickBot="1">
      <c r="A10" s="2">
        <v>8</v>
      </c>
      <c r="B10" s="5" t="s">
        <v>72</v>
      </c>
      <c r="C10" s="1" t="s">
        <v>73</v>
      </c>
      <c r="D10" s="6">
        <v>1</v>
      </c>
    </row>
    <row r="11" spans="1:4" ht="24" customHeight="1" thickBot="1">
      <c r="A11" s="2">
        <v>9</v>
      </c>
      <c r="B11" s="5" t="s">
        <v>74</v>
      </c>
      <c r="C11" s="1" t="s">
        <v>75</v>
      </c>
      <c r="D11" s="6">
        <v>1</v>
      </c>
    </row>
    <row r="12" spans="1:4" ht="24" customHeight="1" thickBot="1">
      <c r="A12" s="2">
        <v>10</v>
      </c>
      <c r="B12" s="5" t="s">
        <v>76</v>
      </c>
      <c r="C12" s="1" t="s">
        <v>77</v>
      </c>
      <c r="D12" s="6">
        <v>0</v>
      </c>
    </row>
    <row r="13" spans="1:4" ht="24" customHeight="1" thickBot="1">
      <c r="A13" s="2">
        <v>11</v>
      </c>
      <c r="B13" s="5" t="s">
        <v>78</v>
      </c>
      <c r="C13" s="1" t="s">
        <v>79</v>
      </c>
      <c r="D13" s="6">
        <v>0.75</v>
      </c>
    </row>
    <row r="14" spans="1:4" ht="24" customHeight="1" thickBot="1">
      <c r="A14" s="2">
        <v>12</v>
      </c>
      <c r="B14" s="5" t="s">
        <v>80</v>
      </c>
      <c r="C14" s="1" t="s">
        <v>81</v>
      </c>
      <c r="D14" s="6">
        <v>0.3</v>
      </c>
    </row>
    <row r="15" spans="1:4" ht="24" customHeight="1" thickBot="1">
      <c r="A15" s="2">
        <v>13</v>
      </c>
      <c r="B15" s="5" t="s">
        <v>82</v>
      </c>
      <c r="C15" s="1" t="s">
        <v>83</v>
      </c>
      <c r="D15" s="6">
        <v>1.2</v>
      </c>
    </row>
    <row r="16" spans="1:4" ht="24" customHeight="1" thickBot="1">
      <c r="A16" s="2">
        <v>14</v>
      </c>
      <c r="B16" s="5" t="s">
        <v>84</v>
      </c>
      <c r="C16" s="1" t="s">
        <v>85</v>
      </c>
      <c r="D16" s="6">
        <v>0.3</v>
      </c>
    </row>
    <row r="17" spans="1:4" ht="24" customHeight="1" thickBot="1">
      <c r="A17" s="2">
        <v>15</v>
      </c>
      <c r="B17" s="5" t="s">
        <v>86</v>
      </c>
      <c r="C17" s="1" t="s">
        <v>87</v>
      </c>
      <c r="D17" s="6">
        <v>0.3</v>
      </c>
    </row>
    <row r="18" spans="1:4" ht="24" customHeight="1" thickBot="1">
      <c r="A18" s="2">
        <v>16</v>
      </c>
      <c r="B18" s="5" t="s">
        <v>88</v>
      </c>
      <c r="C18" s="1" t="s">
        <v>89</v>
      </c>
      <c r="D18" s="6">
        <v>1</v>
      </c>
    </row>
    <row r="19" spans="1:4" ht="24" customHeight="1" thickBot="1">
      <c r="A19" s="2">
        <v>17</v>
      </c>
      <c r="B19" s="5" t="s">
        <v>90</v>
      </c>
      <c r="C19" s="1" t="s">
        <v>91</v>
      </c>
      <c r="D19" s="6">
        <v>1.5</v>
      </c>
    </row>
    <row r="20" spans="1:4" ht="24" customHeight="1" thickBot="1">
      <c r="A20" s="2">
        <v>18</v>
      </c>
      <c r="B20" s="5" t="s">
        <v>92</v>
      </c>
      <c r="C20" s="1" t="s">
        <v>93</v>
      </c>
      <c r="D20" s="6">
        <v>0.3</v>
      </c>
    </row>
    <row r="21" spans="1:4" ht="24" customHeight="1" thickBot="1">
      <c r="A21" s="2">
        <v>19</v>
      </c>
      <c r="B21" s="5" t="s">
        <v>94</v>
      </c>
      <c r="C21" s="1" t="s">
        <v>95</v>
      </c>
      <c r="D21" s="6">
        <v>1.35</v>
      </c>
    </row>
    <row r="22" spans="1:4" ht="24" customHeight="1" thickBot="1">
      <c r="A22" s="2">
        <v>20</v>
      </c>
      <c r="B22" s="5" t="s">
        <v>96</v>
      </c>
      <c r="C22" s="1" t="s">
        <v>97</v>
      </c>
      <c r="D22" s="6">
        <v>0.85</v>
      </c>
    </row>
    <row r="23" spans="1:4" ht="24" customHeight="1" thickBot="1">
      <c r="A23" s="2">
        <v>21</v>
      </c>
      <c r="B23" s="5" t="s">
        <v>98</v>
      </c>
      <c r="C23" s="1" t="s">
        <v>99</v>
      </c>
      <c r="D23" s="6">
        <v>1.35</v>
      </c>
    </row>
    <row r="24" spans="1:4" ht="24" customHeight="1" thickBot="1">
      <c r="A24" s="2">
        <v>22</v>
      </c>
      <c r="B24" s="5" t="s">
        <v>100</v>
      </c>
      <c r="C24" s="1" t="s">
        <v>101</v>
      </c>
      <c r="D24" s="6">
        <v>0</v>
      </c>
    </row>
    <row r="25" spans="1:4" ht="24" customHeight="1" thickBot="1">
      <c r="A25" s="2">
        <v>23</v>
      </c>
      <c r="B25" s="5" t="s">
        <v>102</v>
      </c>
      <c r="C25" s="1" t="s">
        <v>103</v>
      </c>
      <c r="D25" s="6">
        <v>1.5</v>
      </c>
    </row>
    <row r="26" spans="1:4" ht="24" customHeight="1" thickBot="1">
      <c r="A26" s="2">
        <v>24</v>
      </c>
      <c r="B26" s="5" t="s">
        <v>104</v>
      </c>
      <c r="C26" s="1" t="s">
        <v>105</v>
      </c>
      <c r="D26" s="6">
        <v>1.2</v>
      </c>
    </row>
    <row r="27" spans="1:4" ht="24" customHeight="1" thickBot="1">
      <c r="A27" s="2">
        <v>25</v>
      </c>
      <c r="B27" s="5" t="s">
        <v>106</v>
      </c>
      <c r="C27" s="1" t="s">
        <v>107</v>
      </c>
      <c r="D27" s="6">
        <v>0.75</v>
      </c>
    </row>
    <row r="28" spans="1:4" ht="24" customHeight="1" thickBot="1">
      <c r="A28" s="2">
        <v>26</v>
      </c>
      <c r="B28" s="5" t="s">
        <v>108</v>
      </c>
      <c r="C28" s="1" t="s">
        <v>109</v>
      </c>
      <c r="D28" s="6">
        <v>1</v>
      </c>
    </row>
    <row r="29" spans="1:4" ht="24" customHeight="1" thickBot="1">
      <c r="A29" s="2">
        <v>27</v>
      </c>
      <c r="B29" s="5" t="s">
        <v>110</v>
      </c>
      <c r="C29" s="1" t="s">
        <v>111</v>
      </c>
      <c r="D29" s="6">
        <v>1.5</v>
      </c>
    </row>
    <row r="30" spans="1:4" ht="24" customHeight="1" thickBot="1">
      <c r="A30" s="2">
        <v>28</v>
      </c>
      <c r="B30" s="5" t="s">
        <v>112</v>
      </c>
      <c r="C30" s="1" t="s">
        <v>113</v>
      </c>
      <c r="D30" s="6">
        <v>1</v>
      </c>
    </row>
    <row r="31" spans="1:4" ht="24" customHeight="1" thickBot="1">
      <c r="A31" s="2">
        <v>29</v>
      </c>
      <c r="B31" s="5" t="s">
        <v>114</v>
      </c>
      <c r="C31" s="1" t="s">
        <v>115</v>
      </c>
      <c r="D31" s="6">
        <v>0</v>
      </c>
    </row>
    <row r="32" spans="1:4" ht="24" customHeight="1" thickBot="1">
      <c r="A32" s="2">
        <v>30</v>
      </c>
      <c r="B32" s="5" t="s">
        <v>116</v>
      </c>
      <c r="C32" s="1" t="s">
        <v>117</v>
      </c>
      <c r="D32" s="6">
        <v>1</v>
      </c>
    </row>
    <row r="33" spans="1:4" ht="24" customHeight="1" thickBot="1">
      <c r="A33" s="2">
        <v>31</v>
      </c>
      <c r="B33" s="5" t="s">
        <v>118</v>
      </c>
      <c r="C33" s="1" t="s">
        <v>119</v>
      </c>
      <c r="D33" s="6">
        <v>1</v>
      </c>
    </row>
    <row r="34" spans="1:4" ht="24" customHeight="1" thickBot="1">
      <c r="A34" s="2">
        <v>32</v>
      </c>
      <c r="B34" s="5" t="s">
        <v>120</v>
      </c>
      <c r="C34" s="1" t="s">
        <v>121</v>
      </c>
      <c r="D34" s="6">
        <v>1</v>
      </c>
    </row>
    <row r="35" spans="1:4" ht="24" customHeight="1" thickBot="1">
      <c r="A35" s="2">
        <v>33</v>
      </c>
      <c r="B35" s="5" t="s">
        <v>122</v>
      </c>
      <c r="C35" s="1" t="s">
        <v>123</v>
      </c>
      <c r="D35" s="6">
        <v>1</v>
      </c>
    </row>
    <row r="36" spans="1:4" ht="24" customHeight="1" thickBot="1">
      <c r="A36" s="2">
        <v>34</v>
      </c>
      <c r="B36" s="5" t="s">
        <v>124</v>
      </c>
      <c r="C36" s="1" t="s">
        <v>125</v>
      </c>
      <c r="D36" s="6">
        <v>0.75</v>
      </c>
    </row>
    <row r="37" spans="1:4" ht="24" customHeight="1" thickBot="1">
      <c r="A37" s="2">
        <v>35</v>
      </c>
      <c r="B37" s="5" t="s">
        <v>126</v>
      </c>
      <c r="C37" s="1" t="s">
        <v>127</v>
      </c>
      <c r="D37" s="6">
        <v>0</v>
      </c>
    </row>
    <row r="38" spans="1:4" ht="24" customHeight="1" thickBot="1">
      <c r="A38" s="2">
        <v>36</v>
      </c>
      <c r="B38" s="5" t="s">
        <v>128</v>
      </c>
      <c r="C38" s="1" t="s">
        <v>129</v>
      </c>
      <c r="D38" s="6">
        <v>0.5</v>
      </c>
    </row>
    <row r="39" spans="1:4" ht="24" customHeight="1" thickBot="1">
      <c r="A39" s="2">
        <v>37</v>
      </c>
      <c r="B39" s="5" t="s">
        <v>130</v>
      </c>
      <c r="C39" s="1" t="s">
        <v>131</v>
      </c>
      <c r="D39" s="6">
        <v>0.3</v>
      </c>
    </row>
    <row r="40" spans="1:4" ht="24" customHeight="1" thickBot="1">
      <c r="A40" s="2">
        <v>38</v>
      </c>
      <c r="B40" s="5" t="s">
        <v>132</v>
      </c>
      <c r="C40" s="1" t="s">
        <v>133</v>
      </c>
      <c r="D40" s="6">
        <v>1</v>
      </c>
    </row>
    <row r="41" spans="1:4" ht="24" customHeight="1" thickBot="1">
      <c r="A41" s="2">
        <v>39</v>
      </c>
      <c r="B41" s="5" t="s">
        <v>134</v>
      </c>
      <c r="C41" s="1" t="s">
        <v>135</v>
      </c>
      <c r="D41" s="6">
        <v>0.75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B5385-A595-47AD-9D2C-3F1060EBABEA}">
  <dimension ref="A1:D41"/>
  <sheetViews>
    <sheetView workbookViewId="0">
      <selection activeCell="F9" sqref="F9"/>
    </sheetView>
  </sheetViews>
  <sheetFormatPr defaultRowHeight="14.4"/>
  <cols>
    <col min="1" max="2" width="15.77734375" customWidth="1"/>
    <col min="3" max="3" width="22.77734375" customWidth="1"/>
    <col min="4" max="4" width="15.77734375" customWidth="1"/>
  </cols>
  <sheetData>
    <row r="1" spans="1:4" ht="19.8" customHeight="1" thickBot="1">
      <c r="A1" s="57" t="s">
        <v>138</v>
      </c>
      <c r="B1" s="58"/>
      <c r="C1" s="58"/>
      <c r="D1" s="59"/>
    </row>
    <row r="2" spans="1:4" ht="19.8" customHeight="1" thickBot="1">
      <c r="A2" s="9" t="s">
        <v>7</v>
      </c>
      <c r="B2" s="10" t="s">
        <v>8</v>
      </c>
      <c r="C2" s="10" t="s">
        <v>9</v>
      </c>
      <c r="D2" s="10" t="s">
        <v>139</v>
      </c>
    </row>
    <row r="3" spans="1:4" ht="19.8" customHeight="1" thickBot="1">
      <c r="A3" s="2">
        <v>1</v>
      </c>
      <c r="B3" s="1" t="s">
        <v>58</v>
      </c>
      <c r="C3" s="1" t="s">
        <v>59</v>
      </c>
      <c r="D3" s="11">
        <v>4.2</v>
      </c>
    </row>
    <row r="4" spans="1:4" ht="19.8" customHeight="1" thickBot="1">
      <c r="A4" s="2">
        <v>2</v>
      </c>
      <c r="B4" s="1" t="s">
        <v>60</v>
      </c>
      <c r="C4" s="1" t="s">
        <v>61</v>
      </c>
      <c r="D4" s="11">
        <v>5.8</v>
      </c>
    </row>
    <row r="5" spans="1:4" ht="19.8" customHeight="1" thickBot="1">
      <c r="A5" s="2">
        <v>3</v>
      </c>
      <c r="B5" s="1" t="s">
        <v>62</v>
      </c>
      <c r="C5" s="1" t="s">
        <v>63</v>
      </c>
      <c r="D5" s="11">
        <v>5.8</v>
      </c>
    </row>
    <row r="6" spans="1:4" ht="19.8" customHeight="1" thickBot="1">
      <c r="A6" s="2">
        <v>4</v>
      </c>
      <c r="B6" s="1" t="s">
        <v>64</v>
      </c>
      <c r="C6" s="1" t="s">
        <v>65</v>
      </c>
      <c r="D6" s="11">
        <v>4.5</v>
      </c>
    </row>
    <row r="7" spans="1:4" ht="19.8" customHeight="1" thickBot="1">
      <c r="A7" s="2">
        <v>5</v>
      </c>
      <c r="B7" s="1" t="s">
        <v>66</v>
      </c>
      <c r="C7" s="1" t="s">
        <v>67</v>
      </c>
      <c r="D7" s="11">
        <v>5.5</v>
      </c>
    </row>
    <row r="8" spans="1:4" ht="19.8" customHeight="1" thickBot="1">
      <c r="A8" s="2">
        <v>6</v>
      </c>
      <c r="B8" s="1" t="s">
        <v>68</v>
      </c>
      <c r="C8" s="1" t="s">
        <v>69</v>
      </c>
      <c r="D8" s="11">
        <v>7.5</v>
      </c>
    </row>
    <row r="9" spans="1:4" ht="19.8" customHeight="1" thickBot="1">
      <c r="A9" s="2">
        <v>7</v>
      </c>
      <c r="B9" s="1" t="s">
        <v>70</v>
      </c>
      <c r="C9" s="1" t="s">
        <v>71</v>
      </c>
      <c r="D9" s="11">
        <v>5.3</v>
      </c>
    </row>
    <row r="10" spans="1:4" ht="19.8" customHeight="1" thickBot="1">
      <c r="A10" s="2">
        <v>8</v>
      </c>
      <c r="B10" s="1" t="s">
        <v>72</v>
      </c>
      <c r="C10" s="1" t="s">
        <v>73</v>
      </c>
      <c r="D10" s="11">
        <v>7.7</v>
      </c>
    </row>
    <row r="11" spans="1:4" ht="19.8" customHeight="1" thickBot="1">
      <c r="A11" s="2">
        <v>9</v>
      </c>
      <c r="B11" s="1" t="s">
        <v>74</v>
      </c>
      <c r="C11" s="1" t="s">
        <v>75</v>
      </c>
      <c r="D11" s="11">
        <v>-3</v>
      </c>
    </row>
    <row r="12" spans="1:4" ht="19.8" customHeight="1" thickBot="1">
      <c r="A12" s="2">
        <v>10</v>
      </c>
      <c r="B12" s="1" t="s">
        <v>76</v>
      </c>
      <c r="C12" s="1" t="s">
        <v>77</v>
      </c>
      <c r="D12" s="11">
        <v>6.8</v>
      </c>
    </row>
    <row r="13" spans="1:4" ht="19.8" customHeight="1" thickBot="1">
      <c r="A13" s="2">
        <v>11</v>
      </c>
      <c r="B13" s="1" t="s">
        <v>78</v>
      </c>
      <c r="C13" s="1" t="s">
        <v>79</v>
      </c>
      <c r="D13" s="11">
        <v>6.3</v>
      </c>
    </row>
    <row r="14" spans="1:4" ht="19.8" customHeight="1" thickBot="1">
      <c r="A14" s="2">
        <v>12</v>
      </c>
      <c r="B14" s="1" t="s">
        <v>80</v>
      </c>
      <c r="C14" s="1" t="s">
        <v>81</v>
      </c>
      <c r="D14" s="11">
        <v>8.3000000000000007</v>
      </c>
    </row>
    <row r="15" spans="1:4" ht="19.8" customHeight="1" thickBot="1">
      <c r="A15" s="2">
        <v>13</v>
      </c>
      <c r="B15" s="1" t="s">
        <v>82</v>
      </c>
      <c r="C15" s="1" t="s">
        <v>83</v>
      </c>
      <c r="D15" s="11">
        <v>5.5</v>
      </c>
    </row>
    <row r="16" spans="1:4" ht="19.8" customHeight="1" thickBot="1">
      <c r="A16" s="2">
        <v>14</v>
      </c>
      <c r="B16" s="1" t="s">
        <v>84</v>
      </c>
      <c r="C16" s="1" t="s">
        <v>85</v>
      </c>
      <c r="D16" s="11">
        <v>6</v>
      </c>
    </row>
    <row r="17" spans="1:4" ht="19.8" customHeight="1" thickBot="1">
      <c r="A17" s="2">
        <v>15</v>
      </c>
      <c r="B17" s="1" t="s">
        <v>86</v>
      </c>
      <c r="C17" s="1" t="s">
        <v>87</v>
      </c>
      <c r="D17" s="11">
        <v>-3</v>
      </c>
    </row>
    <row r="18" spans="1:4" ht="19.8" customHeight="1" thickBot="1">
      <c r="A18" s="2">
        <v>16</v>
      </c>
      <c r="B18" s="1" t="s">
        <v>88</v>
      </c>
      <c r="C18" s="1" t="s">
        <v>89</v>
      </c>
      <c r="D18" s="11">
        <v>5.7</v>
      </c>
    </row>
    <row r="19" spans="1:4" ht="19.8" customHeight="1" thickBot="1">
      <c r="A19" s="2">
        <v>17</v>
      </c>
      <c r="B19" s="1" t="s">
        <v>90</v>
      </c>
      <c r="C19" s="1" t="s">
        <v>91</v>
      </c>
      <c r="D19" s="11">
        <v>7</v>
      </c>
    </row>
    <row r="20" spans="1:4" ht="19.8" customHeight="1" thickBot="1">
      <c r="A20" s="2">
        <v>18</v>
      </c>
      <c r="B20" s="1" t="s">
        <v>92</v>
      </c>
      <c r="C20" s="1" t="s">
        <v>93</v>
      </c>
      <c r="D20" s="11">
        <v>6.5</v>
      </c>
    </row>
    <row r="21" spans="1:4" ht="19.8" customHeight="1" thickBot="1">
      <c r="A21" s="2">
        <v>19</v>
      </c>
      <c r="B21" s="1" t="s">
        <v>94</v>
      </c>
      <c r="C21" s="1" t="s">
        <v>95</v>
      </c>
      <c r="D21" s="11">
        <v>-3</v>
      </c>
    </row>
    <row r="22" spans="1:4" ht="19.8" customHeight="1" thickBot="1">
      <c r="A22" s="2">
        <v>20</v>
      </c>
      <c r="B22" s="1" t="s">
        <v>96</v>
      </c>
      <c r="C22" s="1" t="s">
        <v>97</v>
      </c>
      <c r="D22" s="11">
        <v>6.5</v>
      </c>
    </row>
    <row r="23" spans="1:4" ht="19.8" customHeight="1" thickBot="1">
      <c r="A23" s="2">
        <v>21</v>
      </c>
      <c r="B23" s="1" t="s">
        <v>98</v>
      </c>
      <c r="C23" s="1" t="s">
        <v>99</v>
      </c>
      <c r="D23" s="11">
        <v>6.7</v>
      </c>
    </row>
    <row r="24" spans="1:4" ht="19.8" customHeight="1" thickBot="1">
      <c r="A24" s="2">
        <v>22</v>
      </c>
      <c r="B24" s="1" t="s">
        <v>100</v>
      </c>
      <c r="C24" s="1" t="s">
        <v>101</v>
      </c>
      <c r="D24" s="11">
        <v>4.5</v>
      </c>
    </row>
    <row r="25" spans="1:4" ht="19.8" customHeight="1" thickBot="1">
      <c r="A25" s="2">
        <v>23</v>
      </c>
      <c r="B25" s="1" t="s">
        <v>102</v>
      </c>
      <c r="C25" s="1" t="s">
        <v>103</v>
      </c>
      <c r="D25" s="11">
        <v>7.5</v>
      </c>
    </row>
    <row r="26" spans="1:4" ht="19.8" customHeight="1" thickBot="1">
      <c r="A26" s="2">
        <v>24</v>
      </c>
      <c r="B26" s="1" t="s">
        <v>104</v>
      </c>
      <c r="C26" s="1" t="s">
        <v>105</v>
      </c>
      <c r="D26" s="11">
        <v>8.8000000000000007</v>
      </c>
    </row>
    <row r="27" spans="1:4" ht="19.8" customHeight="1" thickBot="1">
      <c r="A27" s="2">
        <v>25</v>
      </c>
      <c r="B27" s="1" t="s">
        <v>106</v>
      </c>
      <c r="C27" s="1" t="s">
        <v>107</v>
      </c>
      <c r="D27" s="11">
        <v>6.8</v>
      </c>
    </row>
    <row r="28" spans="1:4" ht="19.8" customHeight="1" thickBot="1">
      <c r="A28" s="2">
        <v>26</v>
      </c>
      <c r="B28" s="1" t="s">
        <v>108</v>
      </c>
      <c r="C28" s="1" t="s">
        <v>109</v>
      </c>
      <c r="D28" s="11">
        <v>7.8</v>
      </c>
    </row>
    <row r="29" spans="1:4" ht="19.8" customHeight="1" thickBot="1">
      <c r="A29" s="2">
        <v>27</v>
      </c>
      <c r="B29" s="1" t="s">
        <v>110</v>
      </c>
      <c r="C29" s="1" t="s">
        <v>111</v>
      </c>
      <c r="D29" s="11">
        <v>8.8000000000000007</v>
      </c>
    </row>
    <row r="30" spans="1:4" ht="19.8" customHeight="1" thickBot="1">
      <c r="A30" s="2">
        <v>28</v>
      </c>
      <c r="B30" s="1" t="s">
        <v>112</v>
      </c>
      <c r="C30" s="1" t="s">
        <v>113</v>
      </c>
      <c r="D30" s="11">
        <v>7.8</v>
      </c>
    </row>
    <row r="31" spans="1:4" ht="19.8" customHeight="1" thickBot="1">
      <c r="A31" s="2">
        <v>29</v>
      </c>
      <c r="B31" s="1" t="s">
        <v>114</v>
      </c>
      <c r="C31" s="1" t="s">
        <v>115</v>
      </c>
      <c r="D31" s="11">
        <v>7.7</v>
      </c>
    </row>
    <row r="32" spans="1:4" ht="19.8" customHeight="1" thickBot="1">
      <c r="A32" s="2">
        <v>30</v>
      </c>
      <c r="B32" s="1" t="s">
        <v>116</v>
      </c>
      <c r="C32" s="1" t="s">
        <v>117</v>
      </c>
      <c r="D32" s="11">
        <v>-3</v>
      </c>
    </row>
    <row r="33" spans="1:4" ht="19.8" customHeight="1" thickBot="1">
      <c r="A33" s="2">
        <v>31</v>
      </c>
      <c r="B33" s="1" t="s">
        <v>118</v>
      </c>
      <c r="C33" s="1" t="s">
        <v>119</v>
      </c>
      <c r="D33" s="11">
        <v>9.1999999999999993</v>
      </c>
    </row>
    <row r="34" spans="1:4" ht="19.8" customHeight="1" thickBot="1">
      <c r="A34" s="2">
        <v>32</v>
      </c>
      <c r="B34" s="1" t="s">
        <v>120</v>
      </c>
      <c r="C34" s="1" t="s">
        <v>121</v>
      </c>
      <c r="D34" s="11">
        <v>7.5</v>
      </c>
    </row>
    <row r="35" spans="1:4" ht="19.8" customHeight="1" thickBot="1">
      <c r="A35" s="2">
        <v>33</v>
      </c>
      <c r="B35" s="1" t="s">
        <v>122</v>
      </c>
      <c r="C35" s="1" t="s">
        <v>123</v>
      </c>
      <c r="D35" s="11">
        <v>-3</v>
      </c>
    </row>
    <row r="36" spans="1:4" ht="19.8" customHeight="1" thickBot="1">
      <c r="A36" s="2">
        <v>34</v>
      </c>
      <c r="B36" s="1" t="s">
        <v>124</v>
      </c>
      <c r="C36" s="1" t="s">
        <v>125</v>
      </c>
      <c r="D36" s="11">
        <v>8.3000000000000007</v>
      </c>
    </row>
    <row r="37" spans="1:4" ht="19.8" customHeight="1" thickBot="1">
      <c r="A37" s="2">
        <v>35</v>
      </c>
      <c r="B37" s="1" t="s">
        <v>126</v>
      </c>
      <c r="C37" s="1" t="s">
        <v>127</v>
      </c>
      <c r="D37" s="11">
        <v>7.5</v>
      </c>
    </row>
    <row r="38" spans="1:4" ht="19.8" customHeight="1" thickBot="1">
      <c r="A38" s="2">
        <v>36</v>
      </c>
      <c r="B38" s="1" t="s">
        <v>128</v>
      </c>
      <c r="C38" s="1" t="s">
        <v>129</v>
      </c>
      <c r="D38" s="11">
        <v>5.5</v>
      </c>
    </row>
    <row r="39" spans="1:4" ht="19.8" customHeight="1" thickBot="1">
      <c r="A39" s="2">
        <v>37</v>
      </c>
      <c r="B39" s="1" t="s">
        <v>130</v>
      </c>
      <c r="C39" s="1" t="s">
        <v>131</v>
      </c>
      <c r="D39" s="11">
        <v>6.7</v>
      </c>
    </row>
    <row r="40" spans="1:4" ht="19.8" customHeight="1" thickBot="1">
      <c r="A40" s="2">
        <v>38</v>
      </c>
      <c r="B40" s="1" t="s">
        <v>132</v>
      </c>
      <c r="C40" s="1" t="s">
        <v>133</v>
      </c>
      <c r="D40" s="11">
        <v>5.5</v>
      </c>
    </row>
    <row r="41" spans="1:4" ht="19.8" customHeight="1" thickBot="1">
      <c r="A41" s="2">
        <v>39</v>
      </c>
      <c r="B41" s="1" t="s">
        <v>134</v>
      </c>
      <c r="C41" s="1" t="s">
        <v>135</v>
      </c>
      <c r="D41" s="11">
        <v>3.2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Sinh viên điểm &lt;7</vt:lpstr>
      <vt:lpstr>Sinh viên điểm &gt;7</vt:lpstr>
      <vt:lpstr>Điểm tổng hợp</vt:lpstr>
      <vt:lpstr>Các bảng tham chiếu &amp; Thống kê</vt:lpstr>
      <vt:lpstr>Điểm thực hành các buổi </vt:lpstr>
      <vt:lpstr>Điểm bài tập lớn</vt:lpstr>
      <vt:lpstr>Điểm lý thuyết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 Lan</dc:creator>
  <cp:lastModifiedBy>Ta Lan</cp:lastModifiedBy>
  <dcterms:created xsi:type="dcterms:W3CDTF">2026-02-02T08:34:34Z</dcterms:created>
  <dcterms:modified xsi:type="dcterms:W3CDTF">2026-02-03T09:21:22Z</dcterms:modified>
</cp:coreProperties>
</file>